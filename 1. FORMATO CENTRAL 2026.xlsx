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D3DEB8C-B2A3-4BE2-A8FC-557EEFD19EAD}" xr6:coauthVersionLast="40" xr6:coauthVersionMax="40" xr10:uidLastSave="{00000000-0000-0000-0000-000000000000}"/>
  <bookViews>
    <workbookView xWindow="0" yWindow="0" windowWidth="20490" windowHeight="7290" tabRatio="941" activeTab="3" xr2:uid="{00000000-000D-0000-FFFF-FFFF00000000}"/>
  </bookViews>
  <sheets>
    <sheet name="HC-QMC" sheetId="57" r:id="rId1"/>
    <sheet name="HC-QMC-SEROL-EGO. " sheetId="56" r:id="rId2"/>
    <sheet name="HC-QMC-SERO-PROT" sheetId="23" r:id="rId3"/>
    <sheet name="QMC-ELEC" sheetId="49" r:id="rId4"/>
    <sheet name="ELECTROLITOS" sheetId="53" r:id="rId5"/>
    <sheet name="COAGULACION" sheetId="36" r:id="rId6"/>
    <sheet name="ORINA" sheetId="22" r:id="rId7"/>
    <sheet name="TEST EMBARAZO" sheetId="29" r:id="rId8"/>
    <sheet name="COPROLOGICO " sheetId="54" r:id="rId9"/>
    <sheet name="Hoja1" sheetId="45" state="hidden" r:id="rId10"/>
    <sheet name="Hoja2" sheetId="46" state="hidden" r:id="rId11"/>
    <sheet name="Hoja4" sheetId="47" state="hidden" r:id="rId12"/>
    <sheet name="PANEL TOXICLOGICO" sheetId="37" r:id="rId13"/>
    <sheet name="P.R HEPATITIS" sheetId="31" r:id="rId14"/>
    <sheet name="SEROLOGIA" sheetId="21" r:id="rId15"/>
    <sheet name="P.R. Ag NASAL" sheetId="25" r:id="rId16"/>
    <sheet name="CURV TOLERANCIA" sheetId="30" r:id="rId17"/>
    <sheet name="Hoja3" sheetId="33" r:id="rId18"/>
    <sheet name="VN" sheetId="17" r:id="rId19"/>
  </sheets>
  <calcPr calcId="191029"/>
</workbook>
</file>

<file path=xl/calcChain.xml><?xml version="1.0" encoding="utf-8"?>
<calcChain xmlns="http://schemas.openxmlformats.org/spreadsheetml/2006/main">
  <c r="C25" i="49" l="1"/>
  <c r="K64" i="57" l="1"/>
  <c r="K43" i="57"/>
  <c r="K42" i="57"/>
  <c r="C41" i="57"/>
  <c r="D21" i="57"/>
  <c r="D20" i="57"/>
  <c r="D19" i="57"/>
  <c r="D18" i="57"/>
  <c r="D17" i="57"/>
  <c r="C13" i="57"/>
  <c r="C10" i="57"/>
  <c r="G46" i="23" l="1"/>
  <c r="K63" i="56"/>
  <c r="K43" i="56"/>
  <c r="K42" i="56" s="1"/>
  <c r="C41" i="56"/>
  <c r="D21" i="56"/>
  <c r="D20" i="56"/>
  <c r="D19" i="56"/>
  <c r="D18" i="56"/>
  <c r="D17" i="56"/>
  <c r="C13" i="56"/>
  <c r="C10" i="56"/>
  <c r="L4" i="54" l="1"/>
  <c r="L66" i="53" l="1"/>
  <c r="H50" i="53"/>
  <c r="H48" i="53"/>
  <c r="C24" i="53"/>
  <c r="C14" i="23" l="1"/>
  <c r="L67" i="49" l="1"/>
  <c r="H51" i="49"/>
  <c r="H49" i="49"/>
  <c r="C11" i="23" l="1"/>
  <c r="D19" i="23"/>
  <c r="D20" i="23"/>
  <c r="D21" i="23"/>
  <c r="D22" i="23"/>
  <c r="D23" i="23"/>
  <c r="N5" i="25" l="1"/>
  <c r="K4" i="22"/>
  <c r="G48" i="23"/>
</calcChain>
</file>

<file path=xl/sharedStrings.xml><?xml version="1.0" encoding="utf-8"?>
<sst xmlns="http://schemas.openxmlformats.org/spreadsheetml/2006/main" count="1314" uniqueCount="385">
  <si>
    <t>ANALISIS DE LABORATORIO CLÍNICO</t>
  </si>
  <si>
    <t>NOMBRE:</t>
  </si>
  <si>
    <t>FECHA:</t>
  </si>
  <si>
    <t xml:space="preserve">MÉDICO:    </t>
  </si>
  <si>
    <t>Dr(a):</t>
  </si>
  <si>
    <t>HEMOGRAMA COMPLETO</t>
  </si>
  <si>
    <t>COAGULOGRAMA</t>
  </si>
  <si>
    <t>VALORES DE REFERENCIA</t>
  </si>
  <si>
    <t>V. DE REFERENCIA</t>
  </si>
  <si>
    <t xml:space="preserve">HOMBRES </t>
  </si>
  <si>
    <t>MUJERES</t>
  </si>
  <si>
    <t>T. coagulacion</t>
  </si>
  <si>
    <t>min.</t>
  </si>
  <si>
    <t>(5-10 min.)</t>
  </si>
  <si>
    <t>mm3</t>
  </si>
  <si>
    <t>T. sangria</t>
  </si>
  <si>
    <t>(2-5 min.)</t>
  </si>
  <si>
    <t xml:space="preserve">5,000 - 10,000 </t>
  </si>
  <si>
    <t>T. Protrombina</t>
  </si>
  <si>
    <t>seg.</t>
  </si>
  <si>
    <t>(11-13seg.)</t>
  </si>
  <si>
    <t>%</t>
  </si>
  <si>
    <t>48 - 58 %</t>
  </si>
  <si>
    <t>44 - 54%</t>
  </si>
  <si>
    <t>Actividad</t>
  </si>
  <si>
    <t>(80-100%)</t>
  </si>
  <si>
    <t>g/dL</t>
  </si>
  <si>
    <t>16 - 18 g/dl</t>
  </si>
  <si>
    <t>14 - 16 g/dl</t>
  </si>
  <si>
    <t>INR</t>
  </si>
  <si>
    <t>1.00</t>
  </si>
  <si>
    <t>V.E.S.</t>
  </si>
  <si>
    <t>mm/hra</t>
  </si>
  <si>
    <t>2 - 7</t>
  </si>
  <si>
    <t>3 - 10</t>
  </si>
  <si>
    <t>TPTA</t>
  </si>
  <si>
    <t>(25-33,8seg.)</t>
  </si>
  <si>
    <t>Plaquetas:</t>
  </si>
  <si>
    <t>xmm3</t>
  </si>
  <si>
    <t>150.000-400.000 xmm3</t>
  </si>
  <si>
    <t>V. REFERENCIA</t>
  </si>
  <si>
    <t>GRUPO SANGUINEO</t>
  </si>
  <si>
    <t>Segmentados</t>
  </si>
  <si>
    <t>55 - 70</t>
  </si>
  <si>
    <t xml:space="preserve">GRUPO </t>
  </si>
  <si>
    <t>Linfocitos</t>
  </si>
  <si>
    <t>25 - 40</t>
  </si>
  <si>
    <t>FACTOR RH</t>
  </si>
  <si>
    <t>Eosinofilos</t>
  </si>
  <si>
    <t xml:space="preserve">0 - 4 </t>
  </si>
  <si>
    <t>Monocitos</t>
  </si>
  <si>
    <t>2 - 8</t>
  </si>
  <si>
    <t>VIH</t>
  </si>
  <si>
    <t>NO REACTIVO</t>
  </si>
  <si>
    <t>Cayados</t>
  </si>
  <si>
    <t>QUIMICA SANGUINEA</t>
  </si>
  <si>
    <t>ELECTROLITOS</t>
  </si>
  <si>
    <t xml:space="preserve">Glicemia </t>
  </si>
  <si>
    <t>mg/dl</t>
  </si>
  <si>
    <t>VR:70-110</t>
  </si>
  <si>
    <t>Sodio</t>
  </si>
  <si>
    <t>mEq/L</t>
  </si>
  <si>
    <t>VR:135-155</t>
  </si>
  <si>
    <t>Creatinina</t>
  </si>
  <si>
    <t>VR:0,7-1,4</t>
  </si>
  <si>
    <t>Potasio</t>
  </si>
  <si>
    <t>VR: 3,5-5,3</t>
  </si>
  <si>
    <t>NUS</t>
  </si>
  <si>
    <t>VR:7,0-18</t>
  </si>
  <si>
    <t>Cloro</t>
  </si>
  <si>
    <t>VR:98-106</t>
  </si>
  <si>
    <t>Urea</t>
  </si>
  <si>
    <t>VR:17-42</t>
  </si>
  <si>
    <t>Calcio</t>
  </si>
  <si>
    <t>VR: 8,5-10,5</t>
  </si>
  <si>
    <t>Acido urico</t>
  </si>
  <si>
    <t>VR: 2,5-7,0</t>
  </si>
  <si>
    <t>Magnesio</t>
  </si>
  <si>
    <t>VR: 1,7-2,5</t>
  </si>
  <si>
    <t>HbA1c</t>
  </si>
  <si>
    <t>VR: 6.0-8,3</t>
  </si>
  <si>
    <t>Fosforo</t>
  </si>
  <si>
    <t>V.R.: 2,5 - 5,0</t>
  </si>
  <si>
    <t>HEPATOGRAMA</t>
  </si>
  <si>
    <t xml:space="preserve"> </t>
  </si>
  <si>
    <t>PERFIL LIPIDICO</t>
  </si>
  <si>
    <t>B. TOTAL:</t>
  </si>
  <si>
    <t>mg/dL</t>
  </si>
  <si>
    <t>V.R.: hasta 1.1</t>
  </si>
  <si>
    <t>Colesterol</t>
  </si>
  <si>
    <t>VR:Menor a 200</t>
  </si>
  <si>
    <t>B. DIRECTA:</t>
  </si>
  <si>
    <t>V.R.: hasta 0.3</t>
  </si>
  <si>
    <t>Trigliceridos</t>
  </si>
  <si>
    <t>VR: 10-150</t>
  </si>
  <si>
    <t>B.INDIRECTA:</t>
  </si>
  <si>
    <t>V.R.: hasta 0.8</t>
  </si>
  <si>
    <t>HDL-COL:</t>
  </si>
  <si>
    <t>VR: 33 - 75</t>
  </si>
  <si>
    <t>GPT (ALT):</t>
  </si>
  <si>
    <t>UI/L</t>
  </si>
  <si>
    <t>V.R.: hasta 40</t>
  </si>
  <si>
    <t>LDL-COL:</t>
  </si>
  <si>
    <t>VR: 10 - 160</t>
  </si>
  <si>
    <t>GOT (AST):</t>
  </si>
  <si>
    <t>VLDL-COL:</t>
  </si>
  <si>
    <t>VR: 5 - 40</t>
  </si>
  <si>
    <t>F.ALCALINA:</t>
  </si>
  <si>
    <t>U/L</t>
  </si>
  <si>
    <t>V.R.: 98-279</t>
  </si>
  <si>
    <t>INMUMOSEROLOGIA</t>
  </si>
  <si>
    <t>Semicuantitativo</t>
  </si>
  <si>
    <t xml:space="preserve"> Proteina C Reactiva</t>
  </si>
  <si>
    <t xml:space="preserve">Dilucion </t>
  </si>
  <si>
    <t>HORA DE TOMA E MUESTRA</t>
  </si>
  <si>
    <t>HORA DE ENTREG DE RESULTADO</t>
  </si>
  <si>
    <t xml:space="preserve">PACIENTE: </t>
  </si>
  <si>
    <r>
      <rPr>
        <b/>
        <sz val="8"/>
        <color theme="1"/>
        <rFont val="Arial Narrow"/>
        <family val="2"/>
      </rPr>
      <t>EDAD:</t>
    </r>
    <r>
      <rPr>
        <sz val="8"/>
        <color theme="1"/>
        <rFont val="Arial Narrow"/>
        <family val="2"/>
      </rPr>
      <t xml:space="preserve"> </t>
    </r>
  </si>
  <si>
    <t xml:space="preserve">MÉDICO:   </t>
  </si>
  <si>
    <r>
      <rPr>
        <b/>
        <sz val="8"/>
        <color theme="1"/>
        <rFont val="Arial Narrow"/>
        <family val="2"/>
      </rPr>
      <t>PIEZA:</t>
    </r>
    <r>
      <rPr>
        <sz val="8"/>
        <color theme="1"/>
        <rFont val="Arial Narrow"/>
        <family val="2"/>
      </rPr>
      <t xml:space="preserve"> </t>
    </r>
  </si>
  <si>
    <t>V.D.R.L</t>
  </si>
  <si>
    <t>Dilucion</t>
  </si>
  <si>
    <t>TIFOIDEA H</t>
  </si>
  <si>
    <t>TIFOIDEA O</t>
  </si>
  <si>
    <t>PARATIFI A</t>
  </si>
  <si>
    <t>PARATIFI B</t>
  </si>
  <si>
    <t>EXAMEN GENERAL DE ORINA</t>
  </si>
  <si>
    <t>ANALISIS FÍSICO</t>
  </si>
  <si>
    <t>CANTIDAD:</t>
  </si>
  <si>
    <t>120 ml</t>
  </si>
  <si>
    <t>DENSIDAD:</t>
  </si>
  <si>
    <t>COLOR:</t>
  </si>
  <si>
    <t xml:space="preserve">Amarillo </t>
  </si>
  <si>
    <t>pH:</t>
  </si>
  <si>
    <t>6.0</t>
  </si>
  <si>
    <t>ASPECTO:</t>
  </si>
  <si>
    <t>Opalescente</t>
  </si>
  <si>
    <t>SEDIMENTO:</t>
  </si>
  <si>
    <t>Regular</t>
  </si>
  <si>
    <t xml:space="preserve">ESPUMA: </t>
  </si>
  <si>
    <t xml:space="preserve">Fugaz </t>
  </si>
  <si>
    <t>ANALISIS QUÍMICO</t>
  </si>
  <si>
    <t>PROTEINAS:</t>
  </si>
  <si>
    <t>Negativo</t>
  </si>
  <si>
    <t xml:space="preserve">Pigm BILIRRUBINA: </t>
  </si>
  <si>
    <t>GLUCOSA:</t>
  </si>
  <si>
    <t xml:space="preserve">UROBILINOGENO:    </t>
  </si>
  <si>
    <t>Normal</t>
  </si>
  <si>
    <t>CETONAS:</t>
  </si>
  <si>
    <t>SANGRE:</t>
  </si>
  <si>
    <t>ESTERASA LEUCOCITARIA: ( )</t>
  </si>
  <si>
    <t>NITRITOS:</t>
  </si>
  <si>
    <t>ANALISIS MICROSCÓPICO</t>
  </si>
  <si>
    <t>HEMATIES:</t>
  </si>
  <si>
    <t>No contiene</t>
  </si>
  <si>
    <t>CRISTALES:</t>
  </si>
  <si>
    <t>LEUCOCITOS:</t>
  </si>
  <si>
    <t>9-12 p/c</t>
  </si>
  <si>
    <t>BACTERIAS:</t>
  </si>
  <si>
    <t>Escasa cantidad</t>
  </si>
  <si>
    <t>C. EPITELIALES:</t>
  </si>
  <si>
    <t>12-15 p/c</t>
  </si>
  <si>
    <t>CILINDROS:</t>
  </si>
  <si>
    <t>OTROS:</t>
  </si>
  <si>
    <t>Se observan acumulos de leucocitos 0-1 p/c</t>
  </si>
  <si>
    <t>FIRMA BIOQUIMICO</t>
  </si>
  <si>
    <t>HORA DE TOMA MUESTRA:</t>
  </si>
  <si>
    <t>HORA ENTREGA RESULTADO:</t>
  </si>
  <si>
    <t xml:space="preserve">EDAD: </t>
  </si>
  <si>
    <t xml:space="preserve">PIEZA: </t>
  </si>
  <si>
    <t>VR: 6,0-8,3</t>
  </si>
  <si>
    <t>PERFIL HEPATICO</t>
  </si>
  <si>
    <t>PROTEINOGRAMA</t>
  </si>
  <si>
    <t>Bil.Total</t>
  </si>
  <si>
    <t>VR: Hasta 1,1</t>
  </si>
  <si>
    <t>Prot.Totales</t>
  </si>
  <si>
    <t>g/dl</t>
  </si>
  <si>
    <t>VR: 6,2-8,5</t>
  </si>
  <si>
    <t>Bil.Directo</t>
  </si>
  <si>
    <t>VR: Hasta 0,3</t>
  </si>
  <si>
    <t>Albumina</t>
  </si>
  <si>
    <t>Bil.Indirecto</t>
  </si>
  <si>
    <t>VR: Hasta 0,8</t>
  </si>
  <si>
    <t>Globulina</t>
  </si>
  <si>
    <t>VR: 2,0 - 3,5</t>
  </si>
  <si>
    <t>GOT/AST</t>
  </si>
  <si>
    <t>VR: Hasta 37</t>
  </si>
  <si>
    <t>Relacion A/G:</t>
  </si>
  <si>
    <t>VR: 1,2 - 2,2</t>
  </si>
  <si>
    <t>GPT/ALT</t>
  </si>
  <si>
    <t>VR: Hasta 45</t>
  </si>
  <si>
    <t>F.Alcalina</t>
  </si>
  <si>
    <t>VR:98-279</t>
  </si>
  <si>
    <t>GGT</t>
  </si>
  <si>
    <t>EDAD:       AÑOS</t>
  </si>
  <si>
    <t>LDH</t>
  </si>
  <si>
    <t>VR: 6,0 - 8,3</t>
  </si>
  <si>
    <t>VR: Menor a 200</t>
  </si>
  <si>
    <t>Trigliceriods</t>
  </si>
  <si>
    <t>HDL</t>
  </si>
  <si>
    <t>VR: 33-75</t>
  </si>
  <si>
    <t>Amilasa</t>
  </si>
  <si>
    <t>UA/dl</t>
  </si>
  <si>
    <t>VR:Hasta 120</t>
  </si>
  <si>
    <t>Lipasa</t>
  </si>
  <si>
    <t>V.R.: 135 - 155</t>
  </si>
  <si>
    <t>V.R.: 8,5 - 10,5</t>
  </si>
  <si>
    <t>V.R.: 3,5 - 5,3</t>
  </si>
  <si>
    <t>V.R.: 1,7 - 2,5</t>
  </si>
  <si>
    <t>V.R.: 98 - 106</t>
  </si>
  <si>
    <t xml:space="preserve">mg/dL </t>
  </si>
  <si>
    <t>PERFIL CARDIACO</t>
  </si>
  <si>
    <t>CK-MB</t>
  </si>
  <si>
    <t>VR: 0 - 24</t>
  </si>
  <si>
    <t>FIRMA BIOQUIMICA</t>
  </si>
  <si>
    <t>INMUNOSEROLOGIA</t>
  </si>
  <si>
    <t>SEROLOGIA PARA VIH</t>
  </si>
  <si>
    <t>METODO:</t>
  </si>
  <si>
    <t>Inmunocromatografico</t>
  </si>
  <si>
    <t>MUESTRA:</t>
  </si>
  <si>
    <t>Suero</t>
  </si>
  <si>
    <t>RESULTADO:</t>
  </si>
  <si>
    <t>HORA DE RECEPCION DE MUESTRA</t>
  </si>
  <si>
    <t>HORA DE ENTREGA RESULTADO</t>
  </si>
  <si>
    <t>6.5</t>
  </si>
  <si>
    <t>Escaso</t>
  </si>
  <si>
    <t>COPROPARASITOLOGICO SIMPLE</t>
  </si>
  <si>
    <t>HORA TOMA DE MUESTRA</t>
  </si>
  <si>
    <t>EDAD:  AÑOS</t>
  </si>
  <si>
    <t xml:space="preserve">Dr(a): </t>
  </si>
  <si>
    <r>
      <rPr>
        <b/>
        <u/>
        <sz val="11"/>
        <color theme="1"/>
        <rFont val="Calibri"/>
        <family val="2"/>
        <scheme val="minor"/>
      </rPr>
      <t>INMUNOSEROLOGIA "</t>
    </r>
    <r>
      <rPr>
        <b/>
        <i/>
        <u/>
        <sz val="11"/>
        <color theme="1"/>
        <rFont val="Calibri"/>
        <family val="2"/>
        <scheme val="minor"/>
      </rPr>
      <t>Perfil Toxicologico</t>
    </r>
    <r>
      <rPr>
        <b/>
        <u/>
        <sz val="11"/>
        <color theme="1"/>
        <rFont val="Calibri"/>
        <family val="2"/>
        <scheme val="minor"/>
      </rPr>
      <t>"</t>
    </r>
  </si>
  <si>
    <t>SEROLOGIA PARA (AMP) "ANFETAMINAS"</t>
  </si>
  <si>
    <t>ORINA</t>
  </si>
  <si>
    <t>NEGATIVO</t>
  </si>
  <si>
    <t>SEROLOGIA PARA (BZD) "BENZODIACEPINAS"</t>
  </si>
  <si>
    <t>SEROLOGIA PARA (COC) "COCAINA"</t>
  </si>
  <si>
    <t>SEROLOGIA PARA (M-AMP) "METANFETAMINA"</t>
  </si>
  <si>
    <t>SEROLOGIA PARA (THC) "MARIHUANA"</t>
  </si>
  <si>
    <t>HORA DE TOMA DE MUESTRA</t>
  </si>
  <si>
    <t>HORA DE ENTREGA DE RESULTADO</t>
  </si>
  <si>
    <t>EDAD: AÑOS</t>
  </si>
  <si>
    <t>SEROLOGIA PARA HEPATITIS "A" (Ag. Superficie)</t>
  </si>
  <si>
    <t>SEROLOGIA PARA HEPATITIS "B" (Ag. Superficie)</t>
  </si>
  <si>
    <t>SUERO</t>
  </si>
  <si>
    <t>SEROLOGIA PARA HEPATITIS "C" (Ag. Superficie)</t>
  </si>
  <si>
    <t>Proteina C Reactiva</t>
  </si>
  <si>
    <t>Factor reumatoideo</t>
  </si>
  <si>
    <t>A.S.T.O</t>
  </si>
  <si>
    <t>SEROLOGIA PARA HELICOBACTER PYLORI</t>
  </si>
  <si>
    <t>Heces</t>
  </si>
  <si>
    <t>SEROLOGIA PARA SANGRE OCULTA EN HECES</t>
  </si>
  <si>
    <t>PACIENTE</t>
  </si>
  <si>
    <t>MEDICO:</t>
  </si>
  <si>
    <t>PIEZA.</t>
  </si>
  <si>
    <t>INMUNOLOGIA</t>
  </si>
  <si>
    <t>CORONAVIRUS  SARS-CoV-2 (COVID 19)</t>
  </si>
  <si>
    <t xml:space="preserve">METODO: </t>
  </si>
  <si>
    <t xml:space="preserve"> Inmunocromatografico cualitativa de Antigeno Nasal</t>
  </si>
  <si>
    <t>HISOPEADO NASOFARINGEO</t>
  </si>
  <si>
    <t>PRUEBA RAPIDA PARA ANTIGENO NASAL</t>
  </si>
  <si>
    <t>INTERPRETACION DEL RESULTADO:</t>
  </si>
  <si>
    <r>
      <rPr>
        <b/>
        <sz val="12"/>
        <rFont val="Calibri"/>
        <family val="2"/>
        <scheme val="minor"/>
      </rPr>
      <t>POSITIVO</t>
    </r>
    <r>
      <rPr>
        <sz val="11"/>
        <rFont val="Calibri"/>
        <family val="2"/>
        <scheme val="minor"/>
      </rPr>
      <t>: La muestra SI presenta antigenos del virus SARS CoV2</t>
    </r>
  </si>
  <si>
    <r>
      <rPr>
        <b/>
        <sz val="12"/>
        <rFont val="Calibri"/>
        <family val="2"/>
        <scheme val="minor"/>
      </rPr>
      <t>NEGATIVO</t>
    </r>
    <r>
      <rPr>
        <sz val="11"/>
        <rFont val="Calibri"/>
        <family val="2"/>
        <scheme val="minor"/>
      </rPr>
      <t>: La muestra NO presenta antigenos del virus SARS CoV2</t>
    </r>
  </si>
  <si>
    <t>PACIENTE :</t>
  </si>
  <si>
    <t>PIEZA</t>
  </si>
  <si>
    <t>Dr.(a):</t>
  </si>
  <si>
    <t>CURVA DE LA TOLERANCIA 
ORAL A LA GLUCOSA</t>
  </si>
  <si>
    <t>HORA</t>
  </si>
  <si>
    <t>RESULTADO</t>
  </si>
  <si>
    <t>UNIDADES</t>
  </si>
  <si>
    <t>BASAL</t>
  </si>
  <si>
    <t>1°</t>
  </si>
  <si>
    <t>2°</t>
  </si>
  <si>
    <t>3°</t>
  </si>
  <si>
    <t>4°</t>
  </si>
  <si>
    <t>TOMA DE MUESTRA: 06:00 am</t>
  </si>
  <si>
    <t>ENTREGA DE RESULTADO: 11.00 am</t>
  </si>
  <si>
    <t>EDAD  AÑOS</t>
  </si>
  <si>
    <t>GONADOTROPINA CORIONICA 
HUMANA (HCG)</t>
  </si>
  <si>
    <t>TEST DE EMBARAZO</t>
  </si>
  <si>
    <t>MUESTRA</t>
  </si>
  <si>
    <t>FUM:</t>
  </si>
  <si>
    <t>SOLO COPIAR CELDAS A USAR</t>
  </si>
  <si>
    <t>VALORES NORMALES</t>
  </si>
  <si>
    <t>B. TOTAL</t>
  </si>
  <si>
    <t>V.R.:</t>
  </si>
  <si>
    <t>Hasta 1,1</t>
  </si>
  <si>
    <t>B. DIRECTA</t>
  </si>
  <si>
    <t>Hasta0,3</t>
  </si>
  <si>
    <t>B.INDIRECTA</t>
  </si>
  <si>
    <t>Hasta 0,8</t>
  </si>
  <si>
    <t>GPT (ALT)</t>
  </si>
  <si>
    <t>Hasta 39</t>
  </si>
  <si>
    <t>GOT (AST)</t>
  </si>
  <si>
    <t>F.ALCALINA</t>
  </si>
  <si>
    <t xml:space="preserve">25 - 90 </t>
  </si>
  <si>
    <t>AMILASA</t>
  </si>
  <si>
    <t>Hasta 96</t>
  </si>
  <si>
    <t>GLUCOSA</t>
  </si>
  <si>
    <t xml:space="preserve">70-110 </t>
  </si>
  <si>
    <t>CREATININA</t>
  </si>
  <si>
    <t>VR:</t>
  </si>
  <si>
    <t>0,7-1,4</t>
  </si>
  <si>
    <t>Ac.Urico</t>
  </si>
  <si>
    <t>1,5-7,0</t>
  </si>
  <si>
    <t>ALBUMINA</t>
  </si>
  <si>
    <t>PROT. TOTAL</t>
  </si>
  <si>
    <t>UREA</t>
  </si>
  <si>
    <t>17 - 42</t>
  </si>
  <si>
    <t>COLESTEROL</t>
  </si>
  <si>
    <t>HDL - COL</t>
  </si>
  <si>
    <t>TRIGLICERIDOS</t>
  </si>
  <si>
    <t>SODIO</t>
  </si>
  <si>
    <t>135-155</t>
  </si>
  <si>
    <t>POTASIO</t>
  </si>
  <si>
    <t>3,5-5,3</t>
  </si>
  <si>
    <t>CLORO</t>
  </si>
  <si>
    <t>98-106</t>
  </si>
  <si>
    <t>CPK-TOTAL</t>
  </si>
  <si>
    <t>CPK-MB</t>
  </si>
  <si>
    <t xml:space="preserve">Dr (a): </t>
  </si>
  <si>
    <t xml:space="preserve">EDAD:  </t>
  </si>
  <si>
    <r>
      <t>PIEZA:</t>
    </r>
    <r>
      <rPr>
        <sz val="10"/>
        <color theme="1"/>
        <rFont val="Arial Narrow"/>
        <family val="2"/>
      </rPr>
      <t xml:space="preserve"> </t>
    </r>
  </si>
  <si>
    <t>GRUPO:</t>
  </si>
  <si>
    <t>FACTOR RH:</t>
  </si>
  <si>
    <t>inmunocromatografia</t>
  </si>
  <si>
    <t>VIH:</t>
  </si>
  <si>
    <t>calcio</t>
  </si>
  <si>
    <t>EDAD:   AÑOS</t>
  </si>
  <si>
    <t>PIEZA:</t>
  </si>
  <si>
    <t>GRUPO</t>
  </si>
  <si>
    <r>
      <t>5,4 - 6,3 x 10</t>
    </r>
    <r>
      <rPr>
        <vertAlign val="superscript"/>
        <sz val="10"/>
        <rFont val="Arial Narrow"/>
        <family val="2"/>
      </rPr>
      <t>6</t>
    </r>
  </si>
  <si>
    <r>
      <t>4,9 - 5,7 x 10</t>
    </r>
    <r>
      <rPr>
        <vertAlign val="superscript"/>
        <sz val="10"/>
        <rFont val="Arial Narrow"/>
        <family val="2"/>
      </rPr>
      <t>6</t>
    </r>
  </si>
  <si>
    <t xml:space="preserve">Dr(a):  </t>
  </si>
  <si>
    <t>Hematocrito</t>
  </si>
  <si>
    <t>Hemoglobina</t>
  </si>
  <si>
    <r>
      <t>EDAD:</t>
    </r>
    <r>
      <rPr>
        <sz val="10"/>
        <color theme="1"/>
        <rFont val="Arial Narrow"/>
        <family val="2"/>
      </rPr>
      <t xml:space="preserve"> </t>
    </r>
  </si>
  <si>
    <t>Globulos rojos</t>
  </si>
  <si>
    <t>globulos blanco</t>
  </si>
  <si>
    <t>Globulos Rojos</t>
  </si>
  <si>
    <t>Globulos Blancos</t>
  </si>
  <si>
    <t>0</t>
  </si>
  <si>
    <t>ml/L</t>
  </si>
  <si>
    <t>V.R.: menor a 5</t>
  </si>
  <si>
    <t>NO SE OBSERVAN FORMAS PARASITARIAS</t>
  </si>
  <si>
    <t>COPROPARASITOLOGICO SERIADO</t>
  </si>
  <si>
    <t>1° Muestra</t>
  </si>
  <si>
    <t>fecha</t>
  </si>
  <si>
    <t>No se observan formas parasitarias</t>
  </si>
  <si>
    <t>2° Muestra</t>
  </si>
  <si>
    <t>3° Muestra</t>
  </si>
  <si>
    <t>CITOLOGIA DE MOCO FECAL</t>
  </si>
  <si>
    <t>Pastosa</t>
  </si>
  <si>
    <t>RESTOS ALIMENTICIOS:</t>
  </si>
  <si>
    <t>No contene</t>
  </si>
  <si>
    <t>PH:</t>
  </si>
  <si>
    <t>MOCO FECAL:</t>
  </si>
  <si>
    <t>Contiene</t>
  </si>
  <si>
    <t>FLORA BACTERIANA</t>
  </si>
  <si>
    <t>abundante y Mixta</t>
  </si>
  <si>
    <t>ERITRICITOS:</t>
  </si>
  <si>
    <t>2-3 cel/campo</t>
  </si>
  <si>
    <t>POLIMORFONUCLEARES:</t>
  </si>
  <si>
    <t>No corresponde</t>
  </si>
  <si>
    <t>MONONUCLEARES:</t>
  </si>
  <si>
    <t>COPROPASITOLOGIA:</t>
  </si>
  <si>
    <t>RH (+)</t>
  </si>
  <si>
    <t>Se observan</t>
  </si>
  <si>
    <t>V.R.: 2,5 - 5,6</t>
  </si>
  <si>
    <t xml:space="preserve">   MÉDICO:    </t>
  </si>
  <si>
    <r>
      <t>5,4 - 6,3 x 10</t>
    </r>
    <r>
      <rPr>
        <vertAlign val="superscript"/>
        <sz val="11"/>
        <rFont val="Arial Narrow"/>
        <family val="2"/>
      </rPr>
      <t>6</t>
    </r>
  </si>
  <si>
    <r>
      <t>4,9 - 5,7 x 10</t>
    </r>
    <r>
      <rPr>
        <vertAlign val="superscript"/>
        <sz val="11"/>
        <rFont val="Arial Narrow"/>
        <family val="2"/>
      </rPr>
      <t>6</t>
    </r>
  </si>
  <si>
    <t>SEROLOGIA PARA VIH (PRUEBA RAPIDA)</t>
  </si>
  <si>
    <t xml:space="preserve"> p/c</t>
  </si>
  <si>
    <t>p/c</t>
  </si>
  <si>
    <t>METODO TURBIDIMETRICO (CUANTITATIVO)</t>
  </si>
  <si>
    <t xml:space="preserve"> Proteina C Reactiva </t>
  </si>
  <si>
    <t>ANALISIS DE LABORATORIO CLINICO</t>
  </si>
  <si>
    <t>EDAD: años</t>
  </si>
  <si>
    <t>ANALISIS DE LABORAROTIO CLINICO</t>
  </si>
  <si>
    <t>REACCION WIDAL</t>
  </si>
  <si>
    <t>VR: 17 - 42</t>
  </si>
  <si>
    <t>VR:7,0 - 18</t>
  </si>
  <si>
    <r>
      <t>EDAD:</t>
    </r>
    <r>
      <rPr>
        <sz val="8"/>
        <color theme="1"/>
        <rFont val="Arial Narrow"/>
        <family val="2"/>
      </rPr>
      <t xml:space="preserve"> </t>
    </r>
  </si>
  <si>
    <r>
      <t>PIEZA:</t>
    </r>
    <r>
      <rPr>
        <sz val="8"/>
        <color theme="1"/>
        <rFont val="Arial Narro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</si>
</sst>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\ AM/PM"/>
    <numFmt numFmtId="166" formatCode="#,##0;[Red]#,##0"/>
    <numFmt numFmtId="167" formatCode="0;[Red]0"/>
  </numFmts>
  <fonts count="1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4"/>
      <color theme="1"/>
      <name val="Bookman Old Style"/>
      <family val="1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u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theme="1"/>
      <name val="Bookman Old Style"/>
      <family val="1"/>
    </font>
    <font>
      <b/>
      <i/>
      <u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9"/>
      <color theme="1"/>
      <name val="Arial Narrow"/>
      <family val="2"/>
    </font>
    <font>
      <b/>
      <sz val="9"/>
      <name val="Arial Narrow"/>
      <family val="2"/>
    </font>
    <font>
      <b/>
      <u/>
      <sz val="8"/>
      <name val="Arial Narrow"/>
      <family val="2"/>
    </font>
    <font>
      <b/>
      <u/>
      <sz val="18"/>
      <color theme="1"/>
      <name val="Bookman Old Style"/>
      <family val="1"/>
    </font>
    <font>
      <u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name val="Arial Narrow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Arial Narrow"/>
      <family val="2"/>
    </font>
    <font>
      <b/>
      <u/>
      <sz val="11"/>
      <name val="Arial Narrow"/>
      <family val="2"/>
    </font>
    <font>
      <sz val="1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u/>
      <sz val="10"/>
      <name val="Arial Narrow"/>
      <family val="2"/>
    </font>
    <font>
      <b/>
      <u/>
      <sz val="9"/>
      <name val="Arial Narrow"/>
      <family val="2"/>
    </font>
    <font>
      <sz val="8"/>
      <color theme="0"/>
      <name val="Arial Narrow"/>
      <family val="2"/>
    </font>
    <font>
      <b/>
      <sz val="8"/>
      <color theme="1"/>
      <name val="Arial Narrow"/>
      <family val="2"/>
    </font>
    <font>
      <i/>
      <sz val="10"/>
      <name val="Arial Narrow"/>
      <family val="2"/>
    </font>
    <font>
      <b/>
      <sz val="10"/>
      <color theme="1"/>
      <name val="Arial Narrow"/>
      <family val="2"/>
    </font>
    <font>
      <b/>
      <u/>
      <sz val="8"/>
      <color theme="1"/>
      <name val="Arial Narrow"/>
      <family val="2"/>
    </font>
    <font>
      <b/>
      <u/>
      <sz val="12"/>
      <name val="Arial Narrow"/>
      <family val="2"/>
    </font>
    <font>
      <b/>
      <u/>
      <sz val="12"/>
      <color theme="1"/>
      <name val="Calibri"/>
      <family val="2"/>
      <scheme val="minor"/>
    </font>
    <font>
      <b/>
      <sz val="8"/>
      <color theme="0"/>
      <name val="Arial Narrow"/>
      <family val="2"/>
    </font>
    <font>
      <sz val="9"/>
      <color theme="0"/>
      <name val="Arial Narrow"/>
      <family val="2"/>
    </font>
    <font>
      <b/>
      <u/>
      <sz val="9"/>
      <color theme="0"/>
      <name val="Arial Narrow"/>
      <family val="2"/>
    </font>
    <font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b/>
      <sz val="11"/>
      <name val="Arial Narrow"/>
      <family val="2"/>
    </font>
    <font>
      <vertAlign val="superscript"/>
      <sz val="10"/>
      <name val="Arial Narrow"/>
      <family val="2"/>
    </font>
    <font>
      <u/>
      <sz val="10"/>
      <name val="Arial Narrow"/>
      <family val="2"/>
    </font>
    <font>
      <b/>
      <u/>
      <sz val="10"/>
      <name val="Calibri"/>
      <family val="2"/>
      <scheme val="minor"/>
    </font>
    <font>
      <b/>
      <i/>
      <u/>
      <sz val="10"/>
      <name val="Arial Narrow"/>
      <family val="2"/>
    </font>
    <font>
      <b/>
      <i/>
      <u/>
      <sz val="10"/>
      <color theme="1"/>
      <name val="Arial Narrow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i/>
      <sz val="10"/>
      <color theme="1"/>
      <name val="Calibri"/>
      <family val="2"/>
      <scheme val="minor"/>
    </font>
    <font>
      <b/>
      <u/>
      <sz val="11"/>
      <color theme="1"/>
      <name val="Arial Narrow"/>
      <family val="2"/>
    </font>
    <font>
      <b/>
      <u/>
      <sz val="12"/>
      <color theme="1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u/>
      <sz val="11"/>
      <name val="Arial Narrow"/>
      <family val="2"/>
    </font>
    <font>
      <sz val="11"/>
      <color theme="0"/>
      <name val="Arial Narrow"/>
      <family val="2"/>
    </font>
    <font>
      <b/>
      <sz val="11"/>
      <color theme="0"/>
      <name val="Arial Narrow"/>
      <family val="2"/>
    </font>
    <font>
      <vertAlign val="superscript"/>
      <sz val="11"/>
      <name val="Arial Narrow"/>
      <family val="2"/>
    </font>
    <font>
      <b/>
      <u/>
      <sz val="11"/>
      <color theme="0"/>
      <name val="Arial Narrow"/>
      <family val="2"/>
    </font>
    <font>
      <i/>
      <sz val="11"/>
      <name val="Arial Narrow"/>
      <family val="2"/>
    </font>
    <font>
      <b/>
      <i/>
      <u/>
      <sz val="11"/>
      <name val="Arial Narrow"/>
      <family val="2"/>
    </font>
    <font>
      <b/>
      <i/>
      <u/>
      <sz val="11"/>
      <color theme="1"/>
      <name val="Arial Narrow"/>
      <family val="2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u/>
      <sz val="10"/>
      <color theme="0"/>
      <name val="Arial Narrow"/>
      <family val="2"/>
    </font>
    <font>
      <b/>
      <sz val="9"/>
      <color theme="0"/>
      <name val="Arial"/>
      <family val="2"/>
    </font>
    <font>
      <sz val="11"/>
      <color theme="0"/>
      <name val="Calibri"/>
      <family val="2"/>
      <scheme val="minor"/>
    </font>
    <font>
      <b/>
      <u/>
      <sz val="8"/>
      <color theme="0"/>
      <name val="Arial Narrow"/>
      <family val="2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u/>
      <sz val="10"/>
      <color theme="0"/>
      <name val="Arial Narrow"/>
      <family val="2"/>
    </font>
    <font>
      <u/>
      <sz val="11"/>
      <color theme="0"/>
      <name val="Arial Narrow"/>
      <family val="2"/>
    </font>
    <font>
      <b/>
      <u/>
      <sz val="10"/>
      <color theme="0"/>
      <name val="Calibri"/>
      <family val="2"/>
      <scheme val="minor"/>
    </font>
    <font>
      <b/>
      <i/>
      <u/>
      <sz val="10"/>
      <color theme="0"/>
      <name val="Arial Narrow"/>
      <family val="2"/>
    </font>
    <font>
      <i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9" fontId="7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" fillId="0" borderId="0"/>
    <xf numFmtId="9" fontId="3" fillId="0" borderId="0" applyFont="0" applyFill="0" applyBorder="0" applyAlignment="0" applyProtection="0"/>
  </cellStyleXfs>
  <cellXfs count="871">
    <xf numFmtId="0" fontId="0" fillId="0" borderId="0" xfId="0"/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Border="1" applyAlignment="1"/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20" fillId="0" borderId="0" xfId="0" applyFont="1" applyBorder="1" applyAlignment="1"/>
    <xf numFmtId="0" fontId="20" fillId="0" borderId="0" xfId="0" applyFont="1" applyBorder="1" applyAlignment="1">
      <alignment horizontal="left"/>
    </xf>
    <xf numFmtId="0" fontId="20" fillId="0" borderId="0" xfId="0" applyFont="1" applyBorder="1"/>
    <xf numFmtId="0" fontId="21" fillId="0" borderId="0" xfId="0" applyFont="1" applyBorder="1" applyAlignment="1">
      <alignment horizontal="left"/>
    </xf>
    <xf numFmtId="0" fontId="21" fillId="0" borderId="0" xfId="0" applyFont="1" applyBorder="1"/>
    <xf numFmtId="0" fontId="0" fillId="0" borderId="1" xfId="0" applyBorder="1" applyAlignment="1"/>
    <xf numFmtId="0" fontId="23" fillId="0" borderId="0" xfId="0" applyFont="1" applyAlignment="1">
      <alignment horizontal="center"/>
    </xf>
    <xf numFmtId="0" fontId="0" fillId="0" borderId="0" xfId="0" applyBorder="1" applyAlignment="1"/>
    <xf numFmtId="0" fontId="23" fillId="0" borderId="0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14" fontId="0" fillId="0" borderId="1" xfId="0" applyNumberFormat="1" applyBorder="1"/>
    <xf numFmtId="14" fontId="0" fillId="0" borderId="0" xfId="0" applyNumberFormat="1"/>
    <xf numFmtId="165" fontId="0" fillId="0" borderId="1" xfId="0" applyNumberFormat="1" applyBorder="1"/>
    <xf numFmtId="0" fontId="24" fillId="0" borderId="0" xfId="0" applyFont="1"/>
    <xf numFmtId="0" fontId="25" fillId="0" borderId="0" xfId="0" applyFont="1"/>
    <xf numFmtId="0" fontId="28" fillId="0" borderId="0" xfId="0" applyFont="1" applyBorder="1" applyAlignment="1"/>
    <xf numFmtId="0" fontId="26" fillId="0" borderId="0" xfId="0" applyFont="1" applyBorder="1"/>
    <xf numFmtId="0" fontId="0" fillId="0" borderId="0" xfId="0" applyFont="1" applyBorder="1"/>
    <xf numFmtId="0" fontId="30" fillId="0" borderId="0" xfId="0" applyFont="1" applyBorder="1" applyAlignment="1"/>
    <xf numFmtId="0" fontId="14" fillId="0" borderId="0" xfId="0" applyFont="1" applyBorder="1"/>
    <xf numFmtId="0" fontId="31" fillId="0" borderId="0" xfId="0" applyFont="1" applyBorder="1"/>
    <xf numFmtId="0" fontId="32" fillId="0" borderId="0" xfId="0" applyFont="1" applyBorder="1"/>
    <xf numFmtId="0" fontId="33" fillId="0" borderId="0" xfId="0" applyFont="1" applyBorder="1"/>
    <xf numFmtId="0" fontId="33" fillId="0" borderId="0" xfId="0" applyFont="1" applyBorder="1" applyAlignment="1"/>
    <xf numFmtId="0" fontId="29" fillId="0" borderId="0" xfId="0" applyFont="1" applyBorder="1"/>
    <xf numFmtId="0" fontId="14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/>
    </xf>
    <xf numFmtId="0" fontId="0" fillId="0" borderId="0" xfId="0" applyFont="1" applyBorder="1" applyAlignment="1"/>
    <xf numFmtId="0" fontId="34" fillId="0" borderId="0" xfId="0" applyFont="1" applyBorder="1"/>
    <xf numFmtId="0" fontId="28" fillId="0" borderId="0" xfId="0" applyFont="1" applyBorder="1"/>
    <xf numFmtId="0" fontId="35" fillId="0" borderId="0" xfId="0" applyFont="1" applyBorder="1" applyAlignment="1"/>
    <xf numFmtId="0" fontId="11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6" fillId="0" borderId="0" xfId="0" applyFont="1" applyBorder="1" applyAlignment="1"/>
    <xf numFmtId="0" fontId="32" fillId="0" borderId="0" xfId="0" applyFont="1" applyBorder="1" applyAlignment="1"/>
    <xf numFmtId="164" fontId="33" fillId="0" borderId="0" xfId="0" applyNumberFormat="1" applyFont="1" applyBorder="1" applyAlignment="1"/>
    <xf numFmtId="0" fontId="13" fillId="0" borderId="0" xfId="0" applyFont="1" applyBorder="1" applyAlignment="1"/>
    <xf numFmtId="0" fontId="36" fillId="0" borderId="0" xfId="0" applyFont="1" applyBorder="1"/>
    <xf numFmtId="0" fontId="11" fillId="0" borderId="0" xfId="0" applyFont="1" applyBorder="1"/>
    <xf numFmtId="2" fontId="36" fillId="0" borderId="0" xfId="0" applyNumberFormat="1" applyFont="1" applyBorder="1"/>
    <xf numFmtId="0" fontId="29" fillId="0" borderId="0" xfId="0" applyFont="1" applyBorder="1" applyAlignment="1"/>
    <xf numFmtId="0" fontId="38" fillId="0" borderId="0" xfId="0" applyFont="1" applyBorder="1" applyAlignment="1"/>
    <xf numFmtId="49" fontId="32" fillId="0" borderId="0" xfId="0" applyNumberFormat="1" applyFont="1" applyBorder="1" applyAlignment="1">
      <alignment vertical="center"/>
    </xf>
    <xf numFmtId="0" fontId="39" fillId="0" borderId="0" xfId="0" applyFont="1" applyBorder="1" applyAlignment="1"/>
    <xf numFmtId="49" fontId="32" fillId="0" borderId="0" xfId="0" applyNumberFormat="1" applyFont="1" applyBorder="1" applyAlignment="1">
      <alignment horizontal="left" vertical="center"/>
    </xf>
    <xf numFmtId="0" fontId="17" fillId="0" borderId="0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/>
    </xf>
    <xf numFmtId="0" fontId="42" fillId="0" borderId="0" xfId="0" applyFont="1" applyBorder="1" applyAlignment="1"/>
    <xf numFmtId="0" fontId="43" fillId="0" borderId="0" xfId="0" applyFont="1" applyAlignment="1">
      <alignment vertical="center"/>
    </xf>
    <xf numFmtId="0" fontId="28" fillId="0" borderId="0" xfId="0" applyFont="1" applyAlignment="1"/>
    <xf numFmtId="0" fontId="44" fillId="0" borderId="0" xfId="0" applyFont="1"/>
    <xf numFmtId="0" fontId="35" fillId="0" borderId="0" xfId="0" applyFont="1" applyAlignment="1"/>
    <xf numFmtId="0" fontId="29" fillId="0" borderId="0" xfId="0" applyFont="1"/>
    <xf numFmtId="0" fontId="37" fillId="0" borderId="0" xfId="0" applyFont="1" applyAlignment="1"/>
    <xf numFmtId="0" fontId="30" fillId="0" borderId="1" xfId="0" applyFont="1" applyBorder="1" applyAlignment="1"/>
    <xf numFmtId="0" fontId="29" fillId="0" borderId="0" xfId="0" applyFont="1" applyAlignment="1"/>
    <xf numFmtId="0" fontId="14" fillId="0" borderId="0" xfId="0" applyFont="1" applyAlignment="1"/>
    <xf numFmtId="0" fontId="14" fillId="0" borderId="1" xfId="0" applyFont="1" applyBorder="1" applyAlignment="1"/>
    <xf numFmtId="0" fontId="29" fillId="0" borderId="2" xfId="0" applyFont="1" applyBorder="1" applyAlignment="1"/>
    <xf numFmtId="0" fontId="33" fillId="0" borderId="0" xfId="0" applyFont="1" applyAlignme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0" xfId="0" applyFont="1" applyAlignment="1">
      <alignment horizontal="left"/>
    </xf>
    <xf numFmtId="0" fontId="45" fillId="0" borderId="0" xfId="0" applyFont="1" applyAlignment="1"/>
    <xf numFmtId="0" fontId="32" fillId="0" borderId="0" xfId="0" applyFont="1" applyAlignment="1"/>
    <xf numFmtId="0" fontId="18" fillId="0" borderId="3" xfId="0" applyFont="1" applyBorder="1" applyAlignment="1"/>
    <xf numFmtId="0" fontId="18" fillId="0" borderId="4" xfId="0" applyFont="1" applyBorder="1" applyAlignment="1"/>
    <xf numFmtId="0" fontId="46" fillId="0" borderId="1" xfId="0" applyFont="1" applyBorder="1" applyAlignment="1"/>
    <xf numFmtId="0" fontId="46" fillId="0" borderId="5" xfId="0" applyFont="1" applyBorder="1" applyAlignment="1">
      <alignment horizontal="left"/>
    </xf>
    <xf numFmtId="0" fontId="24" fillId="0" borderId="3" xfId="0" applyFont="1" applyBorder="1"/>
    <xf numFmtId="0" fontId="46" fillId="0" borderId="5" xfId="0" applyFont="1" applyBorder="1" applyAlignment="1"/>
    <xf numFmtId="0" fontId="14" fillId="0" borderId="0" xfId="0" applyFont="1" applyAlignment="1">
      <alignment horizontal="right"/>
    </xf>
    <xf numFmtId="0" fontId="31" fillId="0" borderId="0" xfId="0" applyFont="1" applyAlignment="1">
      <alignment horizontal="left"/>
    </xf>
    <xf numFmtId="0" fontId="36" fillId="0" borderId="0" xfId="0" applyFont="1"/>
    <xf numFmtId="0" fontId="47" fillId="0" borderId="0" xfId="0" applyFont="1"/>
    <xf numFmtId="0" fontId="36" fillId="0" borderId="0" xfId="0" applyFont="1" applyAlignment="1"/>
    <xf numFmtId="0" fontId="48" fillId="0" borderId="0" xfId="0" applyFont="1"/>
    <xf numFmtId="164" fontId="33" fillId="0" borderId="0" xfId="0" applyNumberFormat="1" applyFont="1" applyAlignment="1"/>
    <xf numFmtId="164" fontId="36" fillId="0" borderId="0" xfId="0" applyNumberFormat="1" applyFont="1" applyAlignment="1"/>
    <xf numFmtId="0" fontId="11" fillId="0" borderId="0" xfId="0" applyFont="1" applyAlignment="1">
      <alignment horizontal="right"/>
    </xf>
    <xf numFmtId="0" fontId="49" fillId="0" borderId="0" xfId="0" applyFont="1" applyAlignment="1"/>
    <xf numFmtId="2" fontId="36" fillId="0" borderId="0" xfId="0" applyNumberFormat="1" applyFont="1"/>
    <xf numFmtId="0" fontId="36" fillId="0" borderId="0" xfId="0" applyFont="1" applyBorder="1" applyAlignment="1">
      <alignment horizontal="center"/>
    </xf>
    <xf numFmtId="0" fontId="14" fillId="0" borderId="1" xfId="0" applyFont="1" applyBorder="1"/>
    <xf numFmtId="0" fontId="1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0" fillId="0" borderId="0" xfId="0" applyFont="1" applyBorder="1"/>
    <xf numFmtId="0" fontId="50" fillId="0" borderId="0" xfId="0" applyFont="1" applyBorder="1" applyAlignment="1"/>
    <xf numFmtId="0" fontId="17" fillId="0" borderId="0" xfId="0" applyFont="1" applyBorder="1" applyAlignment="1">
      <alignment horizontal="left"/>
    </xf>
    <xf numFmtId="0" fontId="17" fillId="0" borderId="0" xfId="0" applyFont="1" applyBorder="1"/>
    <xf numFmtId="0" fontId="42" fillId="0" borderId="0" xfId="0" applyFont="1" applyBorder="1" applyAlignment="1">
      <alignment horizontal="center"/>
    </xf>
    <xf numFmtId="0" fontId="53" fillId="0" borderId="0" xfId="0" applyFont="1"/>
    <xf numFmtId="0" fontId="54" fillId="0" borderId="1" xfId="0" applyFont="1" applyBorder="1" applyAlignment="1"/>
    <xf numFmtId="0" fontId="53" fillId="0" borderId="0" xfId="0" applyFont="1" applyAlignment="1">
      <alignment horizontal="left"/>
    </xf>
    <xf numFmtId="0" fontId="54" fillId="0" borderId="1" xfId="0" applyFont="1" applyBorder="1"/>
    <xf numFmtId="0" fontId="54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Border="1" applyAlignment="1"/>
    <xf numFmtId="0" fontId="18" fillId="0" borderId="1" xfId="0" applyFont="1" applyBorder="1" applyAlignment="1"/>
    <xf numFmtId="0" fontId="54" fillId="0" borderId="0" xfId="0" applyFont="1" applyAlignment="1">
      <alignment horizontal="left"/>
    </xf>
    <xf numFmtId="0" fontId="54" fillId="0" borderId="0" xfId="0" applyFont="1" applyBorder="1"/>
    <xf numFmtId="0" fontId="46" fillId="0" borderId="0" xfId="0" applyFont="1" applyBorder="1"/>
    <xf numFmtId="0" fontId="56" fillId="0" borderId="0" xfId="0" applyFont="1" applyBorder="1" applyAlignment="1"/>
    <xf numFmtId="0" fontId="22" fillId="0" borderId="0" xfId="0" applyFont="1" applyAlignment="1">
      <alignment horizontal="center"/>
    </xf>
    <xf numFmtId="0" fontId="57" fillId="0" borderId="0" xfId="0" applyFont="1" applyBorder="1"/>
    <xf numFmtId="0" fontId="20" fillId="0" borderId="2" xfId="0" applyFont="1" applyBorder="1" applyAlignment="1">
      <alignment horizontal="center"/>
    </xf>
    <xf numFmtId="0" fontId="59" fillId="0" borderId="0" xfId="0" applyFont="1" applyBorder="1" applyAlignment="1"/>
    <xf numFmtId="0" fontId="50" fillId="0" borderId="0" xfId="0" applyFont="1" applyBorder="1" applyAlignment="1">
      <alignment horizontal="right"/>
    </xf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54" fillId="0" borderId="0" xfId="0" applyFont="1" applyAlignment="1">
      <alignment horizontal="right"/>
    </xf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60" fillId="0" borderId="0" xfId="0" applyFont="1" applyAlignment="1"/>
    <xf numFmtId="0" fontId="58" fillId="0" borderId="0" xfId="0" applyFont="1" applyAlignment="1">
      <alignment horizontal="left"/>
    </xf>
    <xf numFmtId="0" fontId="54" fillId="0" borderId="0" xfId="0" applyFont="1" applyAlignment="1"/>
    <xf numFmtId="0" fontId="57" fillId="0" borderId="0" xfId="0" applyFont="1"/>
    <xf numFmtId="0" fontId="18" fillId="0" borderId="0" xfId="0" applyFont="1"/>
    <xf numFmtId="0" fontId="18" fillId="0" borderId="0" xfId="0" applyFont="1" applyAlignment="1">
      <alignment horizontal="left"/>
    </xf>
    <xf numFmtId="165" fontId="18" fillId="0" borderId="0" xfId="0" applyNumberFormat="1" applyFont="1" applyBorder="1" applyAlignment="1">
      <alignment horizontal="left"/>
    </xf>
    <xf numFmtId="20" fontId="18" fillId="0" borderId="0" xfId="0" applyNumberFormat="1" applyFont="1" applyBorder="1" applyAlignment="1">
      <alignment horizontal="left"/>
    </xf>
    <xf numFmtId="0" fontId="54" fillId="0" borderId="0" xfId="0" applyFont="1" applyAlignment="1">
      <alignment horizontal="center"/>
    </xf>
    <xf numFmtId="0" fontId="32" fillId="0" borderId="0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0" fillId="0" borderId="0" xfId="0" applyAlignment="1"/>
    <xf numFmtId="14" fontId="18" fillId="0" borderId="0" xfId="0" applyNumberFormat="1" applyFont="1" applyBorder="1" applyAlignment="1">
      <alignment horizontal="center"/>
    </xf>
    <xf numFmtId="0" fontId="48" fillId="0" borderId="0" xfId="0" applyFont="1" applyBorder="1" applyAlignment="1"/>
    <xf numFmtId="0" fontId="58" fillId="0" borderId="0" xfId="0" applyFont="1" applyBorder="1" applyAlignment="1">
      <alignment horizontal="right"/>
    </xf>
    <xf numFmtId="0" fontId="55" fillId="0" borderId="0" xfId="0" applyFont="1" applyBorder="1" applyAlignment="1"/>
    <xf numFmtId="0" fontId="46" fillId="0" borderId="1" xfId="0" applyFont="1" applyBorder="1" applyAlignment="1">
      <alignment horizontal="right"/>
    </xf>
    <xf numFmtId="0" fontId="18" fillId="0" borderId="0" xfId="0" applyFont="1" applyBorder="1" applyAlignment="1">
      <alignment horizontal="right"/>
    </xf>
    <xf numFmtId="0" fontId="46" fillId="0" borderId="0" xfId="0" applyFont="1" applyAlignment="1"/>
    <xf numFmtId="0" fontId="41" fillId="0" borderId="0" xfId="0" applyFont="1" applyBorder="1"/>
    <xf numFmtId="0" fontId="65" fillId="0" borderId="0" xfId="0" applyFont="1" applyBorder="1" applyAlignment="1">
      <alignment horizontal="right"/>
    </xf>
    <xf numFmtId="0" fontId="13" fillId="0" borderId="0" xfId="0" applyFont="1" applyAlignment="1">
      <alignment horizontal="left"/>
    </xf>
    <xf numFmtId="0" fontId="50" fillId="0" borderId="0" xfId="0" applyFont="1"/>
    <xf numFmtId="0" fontId="46" fillId="0" borderId="1" xfId="0" applyFont="1" applyBorder="1" applyAlignment="1">
      <alignment horizontal="left"/>
    </xf>
    <xf numFmtId="20" fontId="41" fillId="0" borderId="0" xfId="0" applyNumberFormat="1" applyFont="1" applyBorder="1" applyAlignment="1">
      <alignment horizontal="left"/>
    </xf>
    <xf numFmtId="0" fontId="24" fillId="0" borderId="0" xfId="0" applyFont="1" applyBorder="1"/>
    <xf numFmtId="0" fontId="16" fillId="0" borderId="0" xfId="2" applyFont="1"/>
    <xf numFmtId="0" fontId="8" fillId="0" borderId="0" xfId="2"/>
    <xf numFmtId="0" fontId="18" fillId="0" borderId="0" xfId="2" applyFont="1" applyBorder="1"/>
    <xf numFmtId="0" fontId="14" fillId="0" borderId="0" xfId="2" applyFont="1"/>
    <xf numFmtId="0" fontId="18" fillId="0" borderId="0" xfId="2" applyFont="1" applyBorder="1" applyAlignment="1">
      <alignment horizontal="left"/>
    </xf>
    <xf numFmtId="0" fontId="42" fillId="0" borderId="0" xfId="2" applyFont="1" applyBorder="1" applyAlignment="1"/>
    <xf numFmtId="0" fontId="15" fillId="0" borderId="0" xfId="2" applyFont="1"/>
    <xf numFmtId="0" fontId="54" fillId="0" borderId="0" xfId="2" applyFont="1" applyAlignment="1">
      <alignment horizontal="right"/>
    </xf>
    <xf numFmtId="0" fontId="54" fillId="0" borderId="0" xfId="2" applyFont="1"/>
    <xf numFmtId="0" fontId="54" fillId="0" borderId="1" xfId="2" applyFont="1" applyBorder="1" applyAlignment="1"/>
    <xf numFmtId="0" fontId="54" fillId="0" borderId="0" xfId="2" applyFont="1" applyAlignment="1">
      <alignment horizontal="left"/>
    </xf>
    <xf numFmtId="0" fontId="54" fillId="0" borderId="1" xfId="2" applyFont="1" applyBorder="1"/>
    <xf numFmtId="0" fontId="54" fillId="0" borderId="0" xfId="2" applyFont="1" applyBorder="1"/>
    <xf numFmtId="0" fontId="15" fillId="0" borderId="0" xfId="2" applyFont="1" applyAlignment="1">
      <alignment horizontal="center"/>
    </xf>
    <xf numFmtId="0" fontId="13" fillId="0" borderId="0" xfId="2" applyFont="1"/>
    <xf numFmtId="0" fontId="58" fillId="0" borderId="0" xfId="2" applyFont="1" applyAlignment="1"/>
    <xf numFmtId="0" fontId="58" fillId="0" borderId="0" xfId="2" applyFont="1" applyAlignment="1">
      <alignment horizontal="left"/>
    </xf>
    <xf numFmtId="0" fontId="61" fillId="0" borderId="0" xfId="2" applyFont="1"/>
    <xf numFmtId="0" fontId="58" fillId="0" borderId="0" xfId="2" applyFont="1"/>
    <xf numFmtId="3" fontId="54" fillId="0" borderId="1" xfId="2" applyNumberFormat="1" applyFont="1" applyBorder="1" applyAlignment="1">
      <alignment horizontal="center"/>
    </xf>
    <xf numFmtId="0" fontId="54" fillId="0" borderId="1" xfId="2" applyFont="1" applyBorder="1" applyAlignment="1">
      <alignment horizontal="center"/>
    </xf>
    <xf numFmtId="0" fontId="54" fillId="0" borderId="0" xfId="2" applyFont="1" applyAlignment="1"/>
    <xf numFmtId="0" fontId="58" fillId="0" borderId="0" xfId="2" applyFont="1" applyAlignment="1">
      <alignment horizontal="right"/>
    </xf>
    <xf numFmtId="0" fontId="61" fillId="0" borderId="0" xfId="2" applyFont="1" applyAlignment="1"/>
    <xf numFmtId="0" fontId="7" fillId="0" borderId="0" xfId="0" applyFont="1"/>
    <xf numFmtId="0" fontId="21" fillId="0" borderId="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77" fillId="0" borderId="0" xfId="0" applyFont="1" applyBorder="1" applyAlignment="1">
      <alignment horizontal="center"/>
    </xf>
    <xf numFmtId="49" fontId="21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left"/>
    </xf>
    <xf numFmtId="0" fontId="60" fillId="0" borderId="0" xfId="0" applyFont="1" applyAlignment="1">
      <alignment horizontal="center"/>
    </xf>
    <xf numFmtId="0" fontId="59" fillId="0" borderId="0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1" xfId="0" applyFont="1" applyBorder="1"/>
    <xf numFmtId="166" fontId="21" fillId="0" borderId="1" xfId="0" applyNumberFormat="1" applyFont="1" applyBorder="1" applyAlignment="1">
      <alignment horizontal="center"/>
    </xf>
    <xf numFmtId="11" fontId="21" fillId="0" borderId="1" xfId="0" applyNumberFormat="1" applyFont="1" applyBorder="1" applyAlignment="1">
      <alignment horizontal="center"/>
    </xf>
    <xf numFmtId="3" fontId="70" fillId="0" borderId="1" xfId="0" applyNumberFormat="1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0" fontId="80" fillId="0" borderId="5" xfId="0" applyFont="1" applyBorder="1" applyAlignment="1">
      <alignment horizontal="center"/>
    </xf>
    <xf numFmtId="0" fontId="80" fillId="0" borderId="0" xfId="0" applyFont="1" applyBorder="1" applyAlignment="1">
      <alignment horizontal="left"/>
    </xf>
    <xf numFmtId="0" fontId="60" fillId="0" borderId="0" xfId="0" applyFont="1" applyBorder="1"/>
    <xf numFmtId="0" fontId="49" fillId="0" borderId="0" xfId="0" applyFont="1" applyBorder="1" applyAlignment="1"/>
    <xf numFmtId="167" fontId="21" fillId="0" borderId="1" xfId="0" applyNumberFormat="1" applyFont="1" applyBorder="1" applyAlignment="1">
      <alignment horizontal="left"/>
    </xf>
    <xf numFmtId="167" fontId="21" fillId="0" borderId="1" xfId="0" applyNumberFormat="1" applyFont="1" applyBorder="1" applyAlignment="1"/>
    <xf numFmtId="0" fontId="21" fillId="0" borderId="0" xfId="0" applyFont="1" applyBorder="1" applyAlignment="1"/>
    <xf numFmtId="0" fontId="21" fillId="0" borderId="0" xfId="0" applyFont="1"/>
    <xf numFmtId="0" fontId="60" fillId="0" borderId="0" xfId="0" applyFont="1" applyAlignment="1">
      <alignment horizontal="left"/>
    </xf>
    <xf numFmtId="0" fontId="70" fillId="0" borderId="0" xfId="0" applyFont="1"/>
    <xf numFmtId="0" fontId="19" fillId="0" borderId="0" xfId="0" applyFont="1"/>
    <xf numFmtId="0" fontId="60" fillId="0" borderId="0" xfId="0" applyFont="1"/>
    <xf numFmtId="0" fontId="70" fillId="0" borderId="1" xfId="0" applyFont="1" applyBorder="1" applyAlignment="1"/>
    <xf numFmtId="0" fontId="70" fillId="0" borderId="1" xfId="0" applyFont="1" applyBorder="1"/>
    <xf numFmtId="0" fontId="70" fillId="0" borderId="1" xfId="0" applyFont="1" applyBorder="1" applyAlignment="1">
      <alignment horizontal="center"/>
    </xf>
    <xf numFmtId="0" fontId="70" fillId="0" borderId="0" xfId="0" applyFont="1" applyAlignment="1"/>
    <xf numFmtId="0" fontId="60" fillId="0" borderId="0" xfId="0" applyFont="1" applyAlignment="1">
      <alignment horizontal="right"/>
    </xf>
    <xf numFmtId="0" fontId="19" fillId="0" borderId="0" xfId="0" applyFont="1" applyAlignment="1"/>
    <xf numFmtId="0" fontId="20" fillId="0" borderId="0" xfId="0" applyFont="1"/>
    <xf numFmtId="0" fontId="55" fillId="0" borderId="0" xfId="0" applyFont="1" applyAlignment="1"/>
    <xf numFmtId="0" fontId="20" fillId="0" borderId="0" xfId="0" applyFont="1" applyAlignment="1"/>
    <xf numFmtId="0" fontId="70" fillId="0" borderId="0" xfId="0" applyFont="1" applyAlignment="1">
      <alignment horizontal="right"/>
    </xf>
    <xf numFmtId="0" fontId="21" fillId="0" borderId="1" xfId="0" applyFont="1" applyBorder="1" applyAlignment="1"/>
    <xf numFmtId="0" fontId="20" fillId="0" borderId="0" xfId="0" applyFont="1" applyAlignment="1">
      <alignment wrapText="1"/>
    </xf>
    <xf numFmtId="0" fontId="70" fillId="0" borderId="0" xfId="0" applyFont="1" applyAlignment="1">
      <alignment horizontal="left"/>
    </xf>
    <xf numFmtId="14" fontId="21" fillId="0" borderId="0" xfId="0" applyNumberFormat="1" applyFont="1" applyBorder="1" applyAlignment="1">
      <alignment horizontal="left"/>
    </xf>
    <xf numFmtId="0" fontId="81" fillId="0" borderId="0" xfId="0" applyFont="1" applyBorder="1" applyAlignment="1">
      <alignment horizontal="center"/>
    </xf>
    <xf numFmtId="0" fontId="82" fillId="0" borderId="0" xfId="0" applyFont="1"/>
    <xf numFmtId="0" fontId="83" fillId="0" borderId="0" xfId="0" applyFont="1"/>
    <xf numFmtId="0" fontId="60" fillId="0" borderId="1" xfId="0" applyFont="1" applyBorder="1" applyAlignment="1">
      <alignment horizontal="right"/>
    </xf>
    <xf numFmtId="0" fontId="60" fillId="0" borderId="0" xfId="0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0" fontId="16" fillId="0" borderId="0" xfId="5" applyFont="1"/>
    <xf numFmtId="0" fontId="5" fillId="0" borderId="0" xfId="5"/>
    <xf numFmtId="0" fontId="18" fillId="0" borderId="0" xfId="5" applyFont="1" applyBorder="1"/>
    <xf numFmtId="0" fontId="46" fillId="0" borderId="0" xfId="5" applyFont="1" applyBorder="1" applyAlignment="1">
      <alignment horizontal="center"/>
    </xf>
    <xf numFmtId="0" fontId="53" fillId="0" borderId="1" xfId="5" applyFont="1" applyBorder="1" applyAlignment="1">
      <alignment horizontal="center"/>
    </xf>
    <xf numFmtId="0" fontId="18" fillId="0" borderId="0" xfId="5" applyFont="1" applyBorder="1" applyAlignment="1">
      <alignment horizontal="left"/>
    </xf>
    <xf numFmtId="0" fontId="5" fillId="0" borderId="0" xfId="5" applyBorder="1" applyAlignment="1"/>
    <xf numFmtId="0" fontId="16" fillId="0" borderId="0" xfId="7" applyFont="1"/>
    <xf numFmtId="0" fontId="5" fillId="0" borderId="0" xfId="7"/>
    <xf numFmtId="0" fontId="18" fillId="0" borderId="0" xfId="7" applyFont="1" applyBorder="1"/>
    <xf numFmtId="0" fontId="20" fillId="0" borderId="0" xfId="7" applyFont="1" applyBorder="1" applyAlignment="1">
      <alignment horizontal="right"/>
    </xf>
    <xf numFmtId="0" fontId="14" fillId="0" borderId="0" xfId="7" applyFont="1"/>
    <xf numFmtId="0" fontId="20" fillId="0" borderId="0" xfId="7" applyFont="1" applyBorder="1" applyAlignment="1"/>
    <xf numFmtId="0" fontId="18" fillId="0" borderId="0" xfId="7" applyFont="1" applyBorder="1" applyAlignment="1">
      <alignment horizontal="left"/>
    </xf>
    <xf numFmtId="0" fontId="42" fillId="0" borderId="0" xfId="7" applyFont="1" applyBorder="1" applyAlignment="1"/>
    <xf numFmtId="0" fontId="55" fillId="0" borderId="0" xfId="7" applyFont="1" applyBorder="1" applyAlignment="1"/>
    <xf numFmtId="0" fontId="15" fillId="0" borderId="0" xfId="7" applyFont="1"/>
    <xf numFmtId="0" fontId="20" fillId="0" borderId="0" xfId="7" applyFont="1" applyBorder="1"/>
    <xf numFmtId="0" fontId="20" fillId="0" borderId="0" xfId="7" applyFont="1" applyBorder="1" applyAlignment="1">
      <alignment horizontal="center"/>
    </xf>
    <xf numFmtId="0" fontId="78" fillId="0" borderId="0" xfId="7" applyFont="1" applyBorder="1" applyAlignment="1">
      <alignment horizontal="center"/>
    </xf>
    <xf numFmtId="0" fontId="20" fillId="0" borderId="1" xfId="7" applyFont="1" applyBorder="1" applyAlignment="1">
      <alignment horizontal="center"/>
    </xf>
    <xf numFmtId="0" fontId="21" fillId="0" borderId="0" xfId="7" applyFont="1" applyBorder="1" applyAlignment="1">
      <alignment horizontal="right"/>
    </xf>
    <xf numFmtId="0" fontId="13" fillId="0" borderId="0" xfId="7" applyFont="1" applyAlignment="1">
      <alignment horizontal="right"/>
    </xf>
    <xf numFmtId="0" fontId="15" fillId="0" borderId="0" xfId="7" applyFont="1" applyAlignment="1">
      <alignment horizontal="right"/>
    </xf>
    <xf numFmtId="0" fontId="76" fillId="0" borderId="0" xfId="7" applyFont="1" applyBorder="1"/>
    <xf numFmtId="0" fontId="21" fillId="0" borderId="0" xfId="7" applyFont="1" applyBorder="1" applyAlignment="1">
      <alignment horizontal="center"/>
    </xf>
    <xf numFmtId="0" fontId="13" fillId="0" borderId="0" xfId="7" applyFont="1" applyAlignment="1">
      <alignment horizontal="center"/>
    </xf>
    <xf numFmtId="0" fontId="21" fillId="0" borderId="0" xfId="7" applyFont="1" applyBorder="1"/>
    <xf numFmtId="0" fontId="15" fillId="0" borderId="0" xfId="7" applyFont="1" applyAlignment="1">
      <alignment horizontal="center"/>
    </xf>
    <xf numFmtId="0" fontId="21" fillId="0" borderId="0" xfId="7" applyFont="1" applyBorder="1" applyAlignment="1">
      <alignment horizontal="left"/>
    </xf>
    <xf numFmtId="0" fontId="70" fillId="0" borderId="0" xfId="7" applyFont="1" applyBorder="1" applyAlignment="1">
      <alignment horizontal="right"/>
    </xf>
    <xf numFmtId="0" fontId="21" fillId="0" borderId="0" xfId="7" applyFont="1" applyAlignment="1">
      <alignment horizontal="center"/>
    </xf>
    <xf numFmtId="0" fontId="49" fillId="0" borderId="0" xfId="7" applyFont="1" applyBorder="1"/>
    <xf numFmtId="0" fontId="13" fillId="0" borderId="0" xfId="7" applyFont="1"/>
    <xf numFmtId="0" fontId="17" fillId="0" borderId="0" xfId="7" applyFont="1" applyBorder="1"/>
    <xf numFmtId="0" fontId="64" fillId="0" borderId="0" xfId="7" applyFont="1" applyBorder="1"/>
    <xf numFmtId="0" fontId="86" fillId="0" borderId="0" xfId="7" applyFont="1" applyBorder="1" applyAlignment="1">
      <alignment horizontal="center"/>
    </xf>
    <xf numFmtId="0" fontId="60" fillId="0" borderId="1" xfId="7" applyFont="1" applyBorder="1" applyAlignment="1">
      <alignment horizontal="center"/>
    </xf>
    <xf numFmtId="0" fontId="15" fillId="0" borderId="0" xfId="7" applyFont="1" applyAlignment="1">
      <alignment horizontal="left"/>
    </xf>
    <xf numFmtId="0" fontId="32" fillId="0" borderId="0" xfId="7" applyFont="1"/>
    <xf numFmtId="0" fontId="18" fillId="0" borderId="0" xfId="7" applyFont="1" applyAlignment="1">
      <alignment horizontal="right"/>
    </xf>
    <xf numFmtId="0" fontId="18" fillId="0" borderId="0" xfId="7" applyFont="1" applyAlignment="1">
      <alignment horizontal="center"/>
    </xf>
    <xf numFmtId="0" fontId="48" fillId="0" borderId="0" xfId="7" applyFont="1" applyAlignment="1">
      <alignment horizontal="center"/>
    </xf>
    <xf numFmtId="0" fontId="65" fillId="0" borderId="0" xfId="7" applyFont="1" applyBorder="1" applyAlignment="1">
      <alignment horizontal="right"/>
    </xf>
    <xf numFmtId="0" fontId="57" fillId="0" borderId="0" xfId="7" applyFont="1" applyBorder="1" applyAlignment="1">
      <alignment horizontal="center"/>
    </xf>
    <xf numFmtId="0" fontId="47" fillId="0" borderId="0" xfId="7" applyFont="1"/>
    <xf numFmtId="0" fontId="57" fillId="0" borderId="0" xfId="7" applyFont="1" applyBorder="1"/>
    <xf numFmtId="0" fontId="47" fillId="0" borderId="0" xfId="7" applyFont="1" applyBorder="1"/>
    <xf numFmtId="0" fontId="57" fillId="0" borderId="0" xfId="7" applyFont="1" applyBorder="1" applyAlignment="1">
      <alignment horizontal="right"/>
    </xf>
    <xf numFmtId="0" fontId="73" fillId="0" borderId="0" xfId="7" applyFont="1" applyBorder="1" applyAlignment="1">
      <alignment horizontal="center"/>
    </xf>
    <xf numFmtId="0" fontId="57" fillId="0" borderId="0" xfId="7" applyFont="1" applyBorder="1" applyAlignment="1">
      <alignment horizontal="left"/>
    </xf>
    <xf numFmtId="0" fontId="46" fillId="0" borderId="0" xfId="7" applyFont="1" applyAlignment="1"/>
    <xf numFmtId="0" fontId="66" fillId="0" borderId="0" xfId="7" applyFont="1" applyBorder="1" applyAlignment="1"/>
    <xf numFmtId="0" fontId="73" fillId="0" borderId="0" xfId="7" applyFont="1" applyBorder="1"/>
    <xf numFmtId="0" fontId="74" fillId="0" borderId="0" xfId="7" applyFont="1" applyBorder="1"/>
    <xf numFmtId="0" fontId="65" fillId="0" borderId="0" xfId="7" applyFont="1" applyBorder="1"/>
    <xf numFmtId="0" fontId="75" fillId="0" borderId="0" xfId="7" applyFont="1" applyBorder="1"/>
    <xf numFmtId="0" fontId="57" fillId="0" borderId="0" xfId="7" applyFont="1" applyBorder="1" applyAlignment="1"/>
    <xf numFmtId="0" fontId="18" fillId="0" borderId="0" xfId="7" applyFont="1" applyBorder="1" applyAlignment="1"/>
    <xf numFmtId="20" fontId="46" fillId="0" borderId="1" xfId="7" applyNumberFormat="1" applyFont="1" applyBorder="1" applyAlignment="1">
      <alignment horizontal="left"/>
    </xf>
    <xf numFmtId="20" fontId="41" fillId="0" borderId="0" xfId="7" applyNumberFormat="1" applyFont="1" applyBorder="1" applyAlignment="1">
      <alignment horizontal="left"/>
    </xf>
    <xf numFmtId="0" fontId="50" fillId="0" borderId="0" xfId="7" applyFont="1"/>
    <xf numFmtId="0" fontId="24" fillId="0" borderId="0" xfId="7" applyFont="1"/>
    <xf numFmtId="0" fontId="50" fillId="0" borderId="0" xfId="7" applyFont="1" applyBorder="1"/>
    <xf numFmtId="0" fontId="50" fillId="0" borderId="0" xfId="7" applyFont="1" applyBorder="1" applyAlignment="1"/>
    <xf numFmtId="0" fontId="24" fillId="0" borderId="0" xfId="7" applyFont="1" applyBorder="1"/>
    <xf numFmtId="0" fontId="46" fillId="0" borderId="0" xfId="7" applyFont="1" applyBorder="1"/>
    <xf numFmtId="0" fontId="54" fillId="0" borderId="0" xfId="7" applyFont="1" applyAlignment="1">
      <alignment horizontal="right"/>
    </xf>
    <xf numFmtId="0" fontId="18" fillId="0" borderId="0" xfId="7" applyFont="1" applyAlignment="1"/>
    <xf numFmtId="0" fontId="54" fillId="0" borderId="0" xfId="7" applyFont="1"/>
    <xf numFmtId="0" fontId="18" fillId="0" borderId="0" xfId="7" applyFont="1" applyBorder="1" applyAlignment="1">
      <alignment horizontal="center"/>
    </xf>
    <xf numFmtId="0" fontId="54" fillId="0" borderId="0" xfId="7" applyFont="1" applyAlignment="1">
      <alignment horizontal="left"/>
    </xf>
    <xf numFmtId="0" fontId="54" fillId="0" borderId="0" xfId="7" applyFont="1" applyBorder="1"/>
    <xf numFmtId="0" fontId="42" fillId="0" borderId="0" xfId="7" applyFont="1" applyBorder="1" applyAlignment="1">
      <alignment horizontal="center"/>
    </xf>
    <xf numFmtId="0" fontId="58" fillId="0" borderId="0" xfId="7" applyFont="1" applyAlignment="1"/>
    <xf numFmtId="0" fontId="58" fillId="0" borderId="0" xfId="7" applyFont="1" applyAlignment="1">
      <alignment horizontal="left"/>
    </xf>
    <xf numFmtId="0" fontId="61" fillId="0" borderId="0" xfId="7" applyFont="1"/>
    <xf numFmtId="0" fontId="58" fillId="0" borderId="0" xfId="7" applyFont="1"/>
    <xf numFmtId="0" fontId="54" fillId="0" borderId="1" xfId="7" applyFont="1" applyBorder="1" applyAlignment="1"/>
    <xf numFmtId="3" fontId="54" fillId="0" borderId="1" xfId="7" applyNumberFormat="1" applyFont="1" applyBorder="1" applyAlignment="1">
      <alignment horizontal="center"/>
    </xf>
    <xf numFmtId="0" fontId="54" fillId="0" borderId="1" xfId="7" applyFont="1" applyBorder="1"/>
    <xf numFmtId="0" fontId="54" fillId="0" borderId="1" xfId="7" applyFont="1" applyBorder="1" applyAlignment="1">
      <alignment horizontal="center"/>
    </xf>
    <xf numFmtId="0" fontId="54" fillId="0" borderId="0" xfId="7" applyFont="1" applyAlignment="1"/>
    <xf numFmtId="0" fontId="58" fillId="0" borderId="0" xfId="7" applyFont="1" applyAlignment="1">
      <alignment horizontal="right"/>
    </xf>
    <xf numFmtId="0" fontId="61" fillId="0" borderId="0" xfId="7" applyFont="1" applyAlignment="1"/>
    <xf numFmtId="0" fontId="58" fillId="0" borderId="0" xfId="7" applyFont="1" applyAlignment="1">
      <alignment horizontal="center"/>
    </xf>
    <xf numFmtId="0" fontId="17" fillId="0" borderId="0" xfId="7" applyFont="1"/>
    <xf numFmtId="0" fontId="42" fillId="0" borderId="0" xfId="7" applyFont="1" applyAlignment="1"/>
    <xf numFmtId="0" fontId="17" fillId="0" borderId="0" xfId="7" applyFont="1" applyAlignment="1"/>
    <xf numFmtId="0" fontId="17" fillId="0" borderId="0" xfId="7" applyFont="1" applyBorder="1" applyAlignment="1"/>
    <xf numFmtId="0" fontId="18" fillId="0" borderId="1" xfId="7" applyFont="1" applyBorder="1" applyAlignment="1"/>
    <xf numFmtId="0" fontId="17" fillId="0" borderId="0" xfId="7" applyFont="1" applyAlignment="1">
      <alignment wrapText="1"/>
    </xf>
    <xf numFmtId="0" fontId="18" fillId="0" borderId="1" xfId="7" applyFont="1" applyBorder="1" applyAlignment="1">
      <alignment horizontal="center"/>
    </xf>
    <xf numFmtId="0" fontId="18" fillId="0" borderId="1" xfId="7" applyFont="1" applyBorder="1" applyAlignment="1">
      <alignment horizontal="left"/>
    </xf>
    <xf numFmtId="0" fontId="57" fillId="0" borderId="0" xfId="7" applyFont="1"/>
    <xf numFmtId="0" fontId="18" fillId="0" borderId="0" xfId="7" applyFont="1"/>
    <xf numFmtId="0" fontId="32" fillId="0" borderId="0" xfId="7" applyFont="1" applyBorder="1" applyAlignment="1">
      <alignment horizontal="left"/>
    </xf>
    <xf numFmtId="0" fontId="50" fillId="0" borderId="1" xfId="5" applyFont="1" applyBorder="1" applyAlignment="1">
      <alignment horizontal="center"/>
    </xf>
    <xf numFmtId="0" fontId="42" fillId="0" borderId="0" xfId="5" applyFont="1" applyBorder="1" applyAlignment="1">
      <alignment horizontal="center"/>
    </xf>
    <xf numFmtId="0" fontId="18" fillId="0" borderId="0" xfId="5" applyFont="1" applyBorder="1" applyAlignment="1">
      <alignment horizontal="center"/>
    </xf>
    <xf numFmtId="0" fontId="16" fillId="0" borderId="0" xfId="8" applyFont="1"/>
    <xf numFmtId="0" fontId="4" fillId="0" borderId="0" xfId="8"/>
    <xf numFmtId="0" fontId="18" fillId="0" borderId="0" xfId="8" applyFont="1" applyBorder="1"/>
    <xf numFmtId="0" fontId="17" fillId="0" borderId="0" xfId="8" applyFont="1" applyBorder="1" applyAlignment="1"/>
    <xf numFmtId="0" fontId="14" fillId="0" borderId="0" xfId="8" applyFont="1"/>
    <xf numFmtId="0" fontId="17" fillId="0" borderId="0" xfId="8" applyFont="1" applyBorder="1"/>
    <xf numFmtId="0" fontId="18" fillId="0" borderId="0" xfId="8" applyFont="1" applyBorder="1" applyAlignment="1">
      <alignment horizontal="left"/>
    </xf>
    <xf numFmtId="0" fontId="4" fillId="0" borderId="0" xfId="8" applyAlignment="1">
      <alignment horizontal="center"/>
    </xf>
    <xf numFmtId="0" fontId="22" fillId="0" borderId="0" xfId="8" applyFont="1"/>
    <xf numFmtId="0" fontId="14" fillId="0" borderId="3" xfId="8" applyFont="1" applyBorder="1" applyAlignment="1"/>
    <xf numFmtId="0" fontId="14" fillId="0" borderId="4" xfId="8" applyFont="1" applyBorder="1" applyAlignment="1"/>
    <xf numFmtId="0" fontId="4" fillId="0" borderId="4" xfId="8" applyBorder="1"/>
    <xf numFmtId="0" fontId="13" fillId="0" borderId="4" xfId="8" applyFont="1" applyBorder="1" applyAlignment="1"/>
    <xf numFmtId="0" fontId="13" fillId="0" borderId="5" xfId="8" applyFont="1" applyBorder="1" applyAlignment="1"/>
    <xf numFmtId="20" fontId="41" fillId="0" borderId="1" xfId="8" applyNumberFormat="1" applyFont="1" applyBorder="1" applyAlignment="1">
      <alignment horizontal="left"/>
    </xf>
    <xf numFmtId="0" fontId="54" fillId="0" borderId="0" xfId="8" applyFont="1"/>
    <xf numFmtId="0" fontId="50" fillId="0" borderId="0" xfId="8" applyFont="1" applyBorder="1"/>
    <xf numFmtId="0" fontId="50" fillId="0" borderId="0" xfId="8" applyFont="1" applyBorder="1" applyAlignment="1"/>
    <xf numFmtId="0" fontId="4" fillId="0" borderId="0" xfId="8" applyBorder="1"/>
    <xf numFmtId="0" fontId="7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54" fillId="0" borderId="0" xfId="0" applyFont="1" applyAlignment="1">
      <alignment horizontal="center"/>
    </xf>
    <xf numFmtId="0" fontId="18" fillId="0" borderId="0" xfId="0" applyFont="1" applyBorder="1" applyAlignment="1">
      <alignment horizontal="center"/>
    </xf>
    <xf numFmtId="0" fontId="49" fillId="0" borderId="0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70" fillId="0" borderId="5" xfId="0" applyFont="1" applyBorder="1" applyAlignment="1">
      <alignment horizontal="center"/>
    </xf>
    <xf numFmtId="0" fontId="56" fillId="0" borderId="0" xfId="0" applyFont="1" applyBorder="1" applyAlignment="1">
      <alignment horizontal="center"/>
    </xf>
    <xf numFmtId="0" fontId="46" fillId="0" borderId="0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46" fillId="0" borderId="0" xfId="0" applyFont="1" applyBorder="1" applyAlignment="1">
      <alignment horizontal="left"/>
    </xf>
    <xf numFmtId="0" fontId="46" fillId="0" borderId="1" xfId="0" applyFont="1" applyBorder="1"/>
    <xf numFmtId="0" fontId="67" fillId="0" borderId="0" xfId="0" applyFont="1" applyBorder="1"/>
    <xf numFmtId="0" fontId="72" fillId="0" borderId="1" xfId="0" applyFont="1" applyBorder="1" applyAlignment="1">
      <alignment horizontal="center"/>
    </xf>
    <xf numFmtId="0" fontId="67" fillId="0" borderId="0" xfId="0" applyFont="1"/>
    <xf numFmtId="9" fontId="21" fillId="0" borderId="5" xfId="9" applyFont="1" applyBorder="1" applyAlignment="1">
      <alignment horizontal="center"/>
    </xf>
    <xf numFmtId="0" fontId="46" fillId="0" borderId="0" xfId="0" applyFont="1" applyBorder="1" applyAlignment="1"/>
    <xf numFmtId="9" fontId="77" fillId="0" borderId="0" xfId="9" applyNumberFormat="1" applyFont="1" applyBorder="1" applyAlignment="1">
      <alignment horizontal="center"/>
    </xf>
    <xf numFmtId="0" fontId="67" fillId="0" borderId="0" xfId="0" applyFont="1" applyBorder="1" applyAlignment="1">
      <alignment horizontal="right"/>
    </xf>
    <xf numFmtId="9" fontId="21" fillId="0" borderId="5" xfId="9" applyNumberFormat="1" applyFont="1" applyBorder="1" applyAlignment="1">
      <alignment horizontal="center"/>
    </xf>
    <xf numFmtId="0" fontId="46" fillId="0" borderId="0" xfId="0" applyFont="1" applyBorder="1" applyAlignment="1">
      <alignment horizontal="right"/>
    </xf>
    <xf numFmtId="9" fontId="21" fillId="0" borderId="0" xfId="9" applyNumberFormat="1" applyFont="1" applyBorder="1" applyAlignment="1">
      <alignment horizontal="center"/>
    </xf>
    <xf numFmtId="9" fontId="21" fillId="0" borderId="1" xfId="9" applyNumberFormat="1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67" fillId="0" borderId="0" xfId="0" applyFont="1" applyBorder="1" applyAlignment="1"/>
    <xf numFmtId="0" fontId="67" fillId="0" borderId="0" xfId="0" applyFont="1" applyBorder="1" applyAlignment="1">
      <alignment horizontal="center"/>
    </xf>
    <xf numFmtId="0" fontId="46" fillId="0" borderId="0" xfId="0" applyFont="1"/>
    <xf numFmtId="0" fontId="84" fillId="0" borderId="0" xfId="0" applyFont="1" applyBorder="1" applyAlignment="1"/>
    <xf numFmtId="0" fontId="85" fillId="0" borderId="0" xfId="0" applyFont="1" applyBorder="1" applyAlignment="1"/>
    <xf numFmtId="0" fontId="50" fillId="0" borderId="0" xfId="0" applyFont="1" applyBorder="1" applyAlignment="1">
      <alignment horizontal="left"/>
    </xf>
    <xf numFmtId="0" fontId="68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0" fontId="69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49" fontId="69" fillId="0" borderId="0" xfId="0" applyNumberFormat="1" applyFont="1" applyAlignment="1">
      <alignment vertical="center"/>
    </xf>
    <xf numFmtId="0" fontId="50" fillId="0" borderId="0" xfId="0" applyFont="1" applyAlignment="1"/>
    <xf numFmtId="0" fontId="65" fillId="0" borderId="0" xfId="0" applyFont="1" applyBorder="1"/>
    <xf numFmtId="0" fontId="19" fillId="0" borderId="0" xfId="0" applyFont="1" applyAlignment="1">
      <alignment horizontal="right"/>
    </xf>
    <xf numFmtId="0" fontId="52" fillId="0" borderId="1" xfId="0" applyFont="1" applyBorder="1"/>
    <xf numFmtId="0" fontId="49" fillId="0" borderId="0" xfId="0" applyFont="1" applyBorder="1"/>
    <xf numFmtId="9" fontId="21" fillId="0" borderId="1" xfId="9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88" fillId="0" borderId="2" xfId="0" applyFont="1" applyBorder="1" applyAlignment="1">
      <alignment horizontal="left"/>
    </xf>
    <xf numFmtId="0" fontId="88" fillId="0" borderId="0" xfId="0" applyFont="1" applyBorder="1" applyAlignment="1">
      <alignment horizontal="left"/>
    </xf>
    <xf numFmtId="0" fontId="77" fillId="0" borderId="0" xfId="0" applyFont="1"/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0" xfId="0" applyNumberFormat="1" applyFont="1" applyBorder="1" applyAlignment="1"/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78" fillId="0" borderId="0" xfId="8" applyFont="1" applyBorder="1" applyAlignment="1">
      <alignment horizontal="right"/>
    </xf>
    <xf numFmtId="0" fontId="78" fillId="0" borderId="0" xfId="8" applyFont="1" applyBorder="1" applyAlignment="1"/>
    <xf numFmtId="0" fontId="78" fillId="0" borderId="0" xfId="8" applyFont="1" applyBorder="1" applyAlignment="1">
      <alignment horizontal="left"/>
    </xf>
    <xf numFmtId="0" fontId="52" fillId="0" borderId="0" xfId="8" applyFont="1" applyBorder="1" applyAlignment="1">
      <alignment horizontal="left"/>
    </xf>
    <xf numFmtId="0" fontId="51" fillId="0" borderId="0" xfId="8" applyFont="1" applyBorder="1" applyAlignment="1"/>
    <xf numFmtId="0" fontId="3" fillId="0" borderId="0" xfId="8" applyFont="1"/>
    <xf numFmtId="0" fontId="3" fillId="0" borderId="1" xfId="8" applyFont="1" applyBorder="1"/>
    <xf numFmtId="0" fontId="3" fillId="0" borderId="0" xfId="8" applyFont="1" applyBorder="1" applyAlignment="1"/>
    <xf numFmtId="0" fontId="3" fillId="0" borderId="0" xfId="8" applyFont="1" applyAlignment="1">
      <alignment horizontal="center"/>
    </xf>
    <xf numFmtId="0" fontId="21" fillId="0" borderId="0" xfId="0" applyFont="1" applyBorder="1" applyAlignment="1">
      <alignment horizontal="center"/>
    </xf>
    <xf numFmtId="0" fontId="89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51" fillId="0" borderId="0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164" fontId="46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89" fillId="0" borderId="0" xfId="0" applyFont="1" applyAlignment="1">
      <alignment horizontal="center"/>
    </xf>
    <xf numFmtId="0" fontId="17" fillId="0" borderId="0" xfId="2" applyFont="1" applyBorder="1" applyAlignment="1">
      <alignment horizontal="center"/>
    </xf>
    <xf numFmtId="0" fontId="42" fillId="0" borderId="0" xfId="2" applyFont="1" applyBorder="1" applyAlignment="1">
      <alignment horizontal="right"/>
    </xf>
    <xf numFmtId="0" fontId="17" fillId="0" borderId="0" xfId="7" applyFont="1" applyBorder="1" applyAlignment="1">
      <alignment horizontal="center"/>
    </xf>
    <xf numFmtId="0" fontId="40" fillId="0" borderId="0" xfId="0" applyFont="1" applyAlignment="1">
      <alignment horizontal="center"/>
    </xf>
    <xf numFmtId="0" fontId="78" fillId="0" borderId="0" xfId="0" applyFont="1" applyBorder="1" applyAlignment="1">
      <alignment horizontal="center"/>
    </xf>
    <xf numFmtId="0" fontId="78" fillId="0" borderId="0" xfId="0" applyFont="1" applyBorder="1" applyAlignment="1"/>
    <xf numFmtId="0" fontId="52" fillId="0" borderId="0" xfId="0" applyFont="1" applyBorder="1" applyAlignment="1">
      <alignment horizontal="left"/>
    </xf>
    <xf numFmtId="0" fontId="91" fillId="0" borderId="1" xfId="0" applyFont="1" applyBorder="1"/>
    <xf numFmtId="0" fontId="92" fillId="0" borderId="1" xfId="0" applyFont="1" applyBorder="1"/>
    <xf numFmtId="0" fontId="93" fillId="0" borderId="0" xfId="0" applyFont="1" applyBorder="1" applyAlignment="1">
      <alignment horizontal="left"/>
    </xf>
    <xf numFmtId="14" fontId="87" fillId="0" borderId="0" xfId="0" applyNumberFormat="1" applyFont="1" applyBorder="1" applyAlignment="1">
      <alignment horizontal="left"/>
    </xf>
    <xf numFmtId="0" fontId="78" fillId="0" borderId="0" xfId="0" applyFont="1" applyBorder="1"/>
    <xf numFmtId="0" fontId="86" fillId="0" borderId="0" xfId="0" applyFont="1" applyBorder="1"/>
    <xf numFmtId="0" fontId="52" fillId="0" borderId="0" xfId="0" applyFont="1" applyBorder="1"/>
    <xf numFmtId="0" fontId="95" fillId="0" borderId="0" xfId="0" applyFont="1" applyBorder="1"/>
    <xf numFmtId="0" fontId="78" fillId="0" borderId="0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51" fillId="0" borderId="0" xfId="0" applyFont="1" applyBorder="1" applyAlignment="1"/>
    <xf numFmtId="0" fontId="52" fillId="0" borderId="0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52" fillId="0" borderId="5" xfId="0" applyFont="1" applyBorder="1" applyAlignment="1">
      <alignment horizontal="center"/>
    </xf>
    <xf numFmtId="0" fontId="52" fillId="0" borderId="1" xfId="0" applyFont="1" applyBorder="1" applyAlignment="1">
      <alignment horizontal="left"/>
    </xf>
    <xf numFmtId="0" fontId="78" fillId="0" borderId="1" xfId="0" applyFont="1" applyBorder="1" applyAlignment="1">
      <alignment horizontal="center"/>
    </xf>
    <xf numFmtId="166" fontId="52" fillId="0" borderId="1" xfId="0" applyNumberFormat="1" applyFont="1" applyBorder="1" applyAlignment="1">
      <alignment horizontal="center"/>
    </xf>
    <xf numFmtId="11" fontId="52" fillId="0" borderId="1" xfId="0" applyNumberFormat="1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49" fontId="52" fillId="0" borderId="1" xfId="0" applyNumberFormat="1" applyFont="1" applyBorder="1" applyAlignment="1">
      <alignment horizontal="center"/>
    </xf>
    <xf numFmtId="0" fontId="93" fillId="0" borderId="5" xfId="0" applyFont="1" applyBorder="1" applyAlignment="1">
      <alignment horizontal="center"/>
    </xf>
    <xf numFmtId="2" fontId="52" fillId="0" borderId="1" xfId="0" applyNumberFormat="1" applyFont="1" applyBorder="1" applyAlignment="1">
      <alignment horizontal="center"/>
    </xf>
    <xf numFmtId="0" fontId="87" fillId="0" borderId="5" xfId="0" applyFont="1" applyBorder="1" applyAlignment="1">
      <alignment horizontal="center"/>
    </xf>
    <xf numFmtId="0" fontId="52" fillId="0" borderId="0" xfId="0" applyFont="1" applyBorder="1" applyAlignment="1"/>
    <xf numFmtId="0" fontId="45" fillId="0" borderId="0" xfId="0" applyFont="1" applyBorder="1" applyAlignment="1"/>
    <xf numFmtId="0" fontId="2" fillId="0" borderId="0" xfId="0" applyFont="1" applyAlignment="1"/>
    <xf numFmtId="49" fontId="52" fillId="0" borderId="0" xfId="0" applyNumberFormat="1" applyFont="1" applyBorder="1" applyAlignment="1">
      <alignment horizontal="center"/>
    </xf>
    <xf numFmtId="9" fontId="52" fillId="0" borderId="1" xfId="1" applyFont="1" applyBorder="1" applyAlignment="1">
      <alignment horizontal="center"/>
    </xf>
    <xf numFmtId="167" fontId="52" fillId="0" borderId="1" xfId="0" applyNumberFormat="1" applyFont="1" applyBorder="1" applyAlignment="1">
      <alignment horizontal="left"/>
    </xf>
    <xf numFmtId="167" fontId="52" fillId="0" borderId="1" xfId="0" applyNumberFormat="1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9" fontId="52" fillId="0" borderId="1" xfId="1" applyNumberFormat="1" applyFont="1" applyBorder="1" applyAlignment="1">
      <alignment horizontal="center"/>
    </xf>
    <xf numFmtId="9" fontId="52" fillId="0" borderId="1" xfId="1" applyFont="1" applyBorder="1" applyAlignment="1">
      <alignment horizontal="right"/>
    </xf>
    <xf numFmtId="0" fontId="52" fillId="0" borderId="2" xfId="0" applyFont="1" applyBorder="1" applyAlignment="1">
      <alignment horizontal="center"/>
    </xf>
    <xf numFmtId="0" fontId="87" fillId="0" borderId="5" xfId="0" applyFont="1" applyBorder="1" applyAlignment="1"/>
    <xf numFmtId="0" fontId="52" fillId="0" borderId="0" xfId="0" applyFont="1"/>
    <xf numFmtId="9" fontId="94" fillId="0" borderId="0" xfId="1" applyNumberFormat="1" applyFont="1" applyBorder="1" applyAlignment="1">
      <alignment horizontal="right"/>
    </xf>
    <xf numFmtId="0" fontId="94" fillId="0" borderId="0" xfId="0" applyFont="1" applyBorder="1" applyAlignment="1">
      <alignment horizontal="center"/>
    </xf>
    <xf numFmtId="0" fontId="87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9" fontId="52" fillId="0" borderId="1" xfId="1" applyNumberFormat="1" applyFont="1" applyBorder="1" applyAlignment="1">
      <alignment horizontal="right"/>
    </xf>
    <xf numFmtId="49" fontId="94" fillId="0" borderId="0" xfId="0" applyNumberFormat="1" applyFont="1" applyBorder="1" applyAlignment="1">
      <alignment horizontal="center"/>
    </xf>
    <xf numFmtId="0" fontId="52" fillId="0" borderId="1" xfId="0" applyFont="1" applyBorder="1" applyAlignment="1">
      <alignment horizontal="right"/>
    </xf>
    <xf numFmtId="0" fontId="52" fillId="0" borderId="7" xfId="0" applyFont="1" applyBorder="1" applyAlignment="1">
      <alignment horizontal="right"/>
    </xf>
    <xf numFmtId="0" fontId="52" fillId="0" borderId="5" xfId="0" applyFont="1" applyBorder="1" applyAlignment="1"/>
    <xf numFmtId="0" fontId="87" fillId="0" borderId="0" xfId="0" applyFont="1"/>
    <xf numFmtId="0" fontId="87" fillId="0" borderId="1" xfId="0" applyFont="1" applyBorder="1" applyAlignment="1">
      <alignment horizontal="right"/>
    </xf>
    <xf numFmtId="0" fontId="5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8" fillId="0" borderId="0" xfId="2" applyFont="1" applyBorder="1" applyAlignment="1">
      <alignment horizontal="right"/>
    </xf>
    <xf numFmtId="0" fontId="78" fillId="0" borderId="0" xfId="2" applyFont="1" applyBorder="1" applyAlignment="1"/>
    <xf numFmtId="0" fontId="2" fillId="0" borderId="0" xfId="2" applyFont="1"/>
    <xf numFmtId="0" fontId="51" fillId="0" borderId="0" xfId="2" applyFont="1" applyBorder="1" applyAlignment="1"/>
    <xf numFmtId="0" fontId="52" fillId="0" borderId="0" xfId="2" applyFont="1" applyBorder="1"/>
    <xf numFmtId="0" fontId="87" fillId="0" borderId="0" xfId="2" applyFont="1" applyAlignment="1">
      <alignment horizontal="right"/>
    </xf>
    <xf numFmtId="0" fontId="52" fillId="0" borderId="1" xfId="7" applyFont="1" applyBorder="1" applyAlignment="1">
      <alignment horizontal="center"/>
    </xf>
    <xf numFmtId="0" fontId="52" fillId="0" borderId="0" xfId="7" applyFont="1" applyBorder="1" applyAlignment="1">
      <alignment horizontal="center"/>
    </xf>
    <xf numFmtId="0" fontId="2" fillId="0" borderId="0" xfId="7" applyFont="1" applyAlignment="1">
      <alignment horizontal="center"/>
    </xf>
    <xf numFmtId="0" fontId="52" fillId="0" borderId="0" xfId="7" applyFont="1" applyBorder="1"/>
    <xf numFmtId="0" fontId="87" fillId="0" borderId="0" xfId="7" applyFont="1" applyBorder="1" applyAlignment="1">
      <alignment horizontal="right"/>
    </xf>
    <xf numFmtId="0" fontId="32" fillId="0" borderId="0" xfId="7" applyFont="1" applyBorder="1"/>
    <xf numFmtId="0" fontId="78" fillId="0" borderId="0" xfId="0" applyFont="1" applyBorder="1" applyAlignment="1">
      <alignment horizontal="right"/>
    </xf>
    <xf numFmtId="0" fontId="70" fillId="0" borderId="0" xfId="0" applyFont="1" applyBorder="1"/>
    <xf numFmtId="0" fontId="87" fillId="0" borderId="0" xfId="0" applyFont="1" applyAlignment="1">
      <alignment horizontal="left"/>
    </xf>
    <xf numFmtId="0" fontId="87" fillId="0" borderId="0" xfId="0" applyFont="1" applyBorder="1" applyAlignment="1"/>
    <xf numFmtId="14" fontId="52" fillId="0" borderId="1" xfId="0" applyNumberFormat="1" applyFont="1" applyBorder="1" applyAlignment="1">
      <alignment horizontal="center"/>
    </xf>
    <xf numFmtId="0" fontId="70" fillId="0" borderId="0" xfId="0" applyFont="1" applyBorder="1" applyAlignment="1">
      <alignment horizontal="left"/>
    </xf>
    <xf numFmtId="0" fontId="99" fillId="0" borderId="0" xfId="0" applyFont="1"/>
    <xf numFmtId="0" fontId="100" fillId="0" borderId="0" xfId="0" applyFont="1"/>
    <xf numFmtId="0" fontId="86" fillId="0" borderId="1" xfId="0" applyFont="1" applyBorder="1" applyAlignment="1">
      <alignment horizontal="right"/>
    </xf>
    <xf numFmtId="0" fontId="78" fillId="0" borderId="1" xfId="0" applyFont="1" applyBorder="1" applyAlignment="1">
      <alignment horizontal="right"/>
    </xf>
    <xf numFmtId="0" fontId="78" fillId="0" borderId="2" xfId="0" applyFont="1" applyBorder="1" applyAlignment="1">
      <alignment horizontal="center"/>
    </xf>
    <xf numFmtId="0" fontId="98" fillId="0" borderId="0" xfId="0" applyFont="1" applyBorder="1" applyAlignment="1"/>
    <xf numFmtId="0" fontId="87" fillId="0" borderId="0" xfId="0" applyFont="1" applyBorder="1" applyAlignment="1">
      <alignment horizontal="left"/>
    </xf>
    <xf numFmtId="14" fontId="2" fillId="0" borderId="0" xfId="0" applyNumberFormat="1" applyFont="1" applyBorder="1" applyAlignment="1"/>
    <xf numFmtId="0" fontId="89" fillId="0" borderId="0" xfId="0" applyFont="1" applyAlignment="1"/>
    <xf numFmtId="14" fontId="2" fillId="0" borderId="1" xfId="0" applyNumberFormat="1" applyFont="1" applyBorder="1"/>
    <xf numFmtId="0" fontId="101" fillId="0" borderId="0" xfId="0" applyFont="1"/>
    <xf numFmtId="0" fontId="60" fillId="0" borderId="0" xfId="0" applyFont="1" applyAlignment="1">
      <alignment horizontal="left"/>
    </xf>
    <xf numFmtId="0" fontId="78" fillId="0" borderId="0" xfId="0" applyFont="1" applyBorder="1" applyAlignment="1">
      <alignment horizontal="left"/>
    </xf>
    <xf numFmtId="0" fontId="52" fillId="0" borderId="1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86" fillId="0" borderId="0" xfId="5" applyFont="1" applyAlignment="1">
      <alignment horizontal="center"/>
    </xf>
    <xf numFmtId="0" fontId="86" fillId="0" borderId="0" xfId="5" applyFont="1" applyBorder="1" applyAlignment="1">
      <alignment horizontal="center"/>
    </xf>
    <xf numFmtId="0" fontId="40" fillId="0" borderId="0" xfId="0" applyFont="1" applyAlignment="1"/>
    <xf numFmtId="0" fontId="2" fillId="0" borderId="0" xfId="0" applyFont="1" applyAlignment="1">
      <alignment horizontal="left"/>
    </xf>
    <xf numFmtId="0" fontId="86" fillId="0" borderId="0" xfId="0" applyFont="1"/>
    <xf numFmtId="0" fontId="50" fillId="0" borderId="0" xfId="5" applyFont="1" applyBorder="1" applyAlignment="1">
      <alignment horizontal="center"/>
    </xf>
    <xf numFmtId="0" fontId="53" fillId="0" borderId="0" xfId="5" applyFont="1" applyBorder="1" applyAlignment="1">
      <alignment horizontal="center"/>
    </xf>
    <xf numFmtId="12" fontId="54" fillId="0" borderId="0" xfId="0" applyNumberFormat="1" applyFont="1" applyBorder="1"/>
    <xf numFmtId="0" fontId="18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56" fillId="0" borderId="0" xfId="0" applyFont="1" applyBorder="1" applyAlignment="1">
      <alignment horizontal="center"/>
    </xf>
    <xf numFmtId="0" fontId="46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20" fillId="0" borderId="0" xfId="0" applyFont="1" applyBorder="1" applyAlignment="1">
      <alignment horizontal="left"/>
    </xf>
    <xf numFmtId="0" fontId="19" fillId="0" borderId="0" xfId="0" applyFont="1" applyAlignment="1">
      <alignment horizontal="right"/>
    </xf>
    <xf numFmtId="0" fontId="60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2" fillId="0" borderId="0" xfId="0" applyFont="1" applyBorder="1" applyAlignment="1">
      <alignment horizontal="left"/>
    </xf>
    <xf numFmtId="0" fontId="78" fillId="0" borderId="0" xfId="0" applyFont="1" applyBorder="1" applyAlignment="1">
      <alignment horizontal="center"/>
    </xf>
    <xf numFmtId="0" fontId="76" fillId="0" borderId="0" xfId="0" applyFont="1" applyBorder="1"/>
    <xf numFmtId="0" fontId="74" fillId="0" borderId="0" xfId="0" applyFont="1" applyBorder="1" applyAlignment="1">
      <alignment horizontal="center"/>
    </xf>
    <xf numFmtId="0" fontId="66" fillId="0" borderId="0" xfId="0" applyFont="1" applyBorder="1" applyAlignment="1"/>
    <xf numFmtId="0" fontId="65" fillId="0" borderId="0" xfId="0" applyFont="1" applyBorder="1" applyAlignment="1">
      <alignment horizontal="left"/>
    </xf>
    <xf numFmtId="0" fontId="65" fillId="0" borderId="0" xfId="0" applyFont="1" applyBorder="1" applyAlignment="1">
      <alignment horizontal="center"/>
    </xf>
    <xf numFmtId="0" fontId="104" fillId="0" borderId="0" xfId="0" applyFont="1" applyBorder="1" applyAlignment="1"/>
    <xf numFmtId="0" fontId="65" fillId="0" borderId="0" xfId="0" applyFont="1" applyBorder="1" applyAlignment="1"/>
    <xf numFmtId="0" fontId="57" fillId="0" borderId="0" xfId="0" applyFont="1" applyBorder="1" applyAlignment="1">
      <alignment horizontal="left"/>
    </xf>
    <xf numFmtId="0" fontId="105" fillId="0" borderId="0" xfId="0" applyFont="1" applyBorder="1" applyAlignment="1"/>
    <xf numFmtId="0" fontId="106" fillId="0" borderId="0" xfId="0" applyFont="1" applyBorder="1" applyAlignment="1">
      <alignment horizontal="center"/>
    </xf>
    <xf numFmtId="0" fontId="57" fillId="0" borderId="0" xfId="0" applyFont="1" applyBorder="1" applyAlignment="1">
      <alignment horizontal="center"/>
    </xf>
    <xf numFmtId="0" fontId="108" fillId="0" borderId="0" xfId="0" applyFont="1" applyBorder="1"/>
    <xf numFmtId="164" fontId="65" fillId="0" borderId="0" xfId="0" applyNumberFormat="1" applyFont="1" applyBorder="1" applyAlignment="1">
      <alignment horizontal="center"/>
    </xf>
    <xf numFmtId="0" fontId="105" fillId="0" borderId="0" xfId="0" applyFont="1" applyBorder="1"/>
    <xf numFmtId="49" fontId="107" fillId="0" borderId="0" xfId="0" applyNumberFormat="1" applyFont="1" applyBorder="1" applyAlignment="1">
      <alignment vertical="center"/>
    </xf>
    <xf numFmtId="0" fontId="57" fillId="0" borderId="0" xfId="0" applyFont="1" applyBorder="1" applyAlignment="1"/>
    <xf numFmtId="0" fontId="75" fillId="0" borderId="0" xfId="0" applyFont="1" applyBorder="1" applyAlignment="1">
      <alignment horizontal="left"/>
    </xf>
    <xf numFmtId="0" fontId="94" fillId="0" borderId="0" xfId="0" applyFont="1" applyBorder="1"/>
    <xf numFmtId="0" fontId="58" fillId="0" borderId="0" xfId="2" applyFont="1" applyAlignment="1">
      <alignment horizontal="center"/>
    </xf>
    <xf numFmtId="0" fontId="86" fillId="0" borderId="0" xfId="2" applyFont="1" applyBorder="1"/>
    <xf numFmtId="0" fontId="86" fillId="0" borderId="1" xfId="2" applyFont="1" applyBorder="1" applyAlignment="1">
      <alignment horizontal="center"/>
    </xf>
    <xf numFmtId="9" fontId="87" fillId="0" borderId="1" xfId="3" applyFont="1" applyBorder="1" applyAlignment="1">
      <alignment horizontal="right"/>
    </xf>
    <xf numFmtId="0" fontId="87" fillId="0" borderId="2" xfId="2" applyFont="1" applyBorder="1" applyAlignment="1">
      <alignment horizontal="center"/>
    </xf>
    <xf numFmtId="0" fontId="1" fillId="0" borderId="0" xfId="2" applyFont="1"/>
    <xf numFmtId="0" fontId="86" fillId="0" borderId="0" xfId="2" applyFont="1" applyBorder="1" applyAlignment="1">
      <alignment horizontal="right"/>
    </xf>
    <xf numFmtId="0" fontId="87" fillId="0" borderId="1" xfId="2" applyFont="1" applyBorder="1" applyAlignment="1">
      <alignment horizontal="right"/>
    </xf>
    <xf numFmtId="0" fontId="86" fillId="0" borderId="1" xfId="2" applyFont="1" applyBorder="1"/>
    <xf numFmtId="9" fontId="87" fillId="0" borderId="0" xfId="3" applyNumberFormat="1" applyFont="1" applyBorder="1" applyAlignment="1">
      <alignment horizontal="right"/>
    </xf>
    <xf numFmtId="0" fontId="87" fillId="0" borderId="0" xfId="2" applyFont="1" applyBorder="1" applyAlignment="1">
      <alignment horizontal="center"/>
    </xf>
    <xf numFmtId="0" fontId="87" fillId="0" borderId="0" xfId="2" applyFont="1" applyBorder="1"/>
    <xf numFmtId="0" fontId="1" fillId="0" borderId="0" xfId="2" applyFont="1" applyAlignment="1">
      <alignment horizontal="center"/>
    </xf>
    <xf numFmtId="9" fontId="87" fillId="0" borderId="1" xfId="3" applyNumberFormat="1" applyFont="1" applyBorder="1" applyAlignment="1">
      <alignment horizontal="right"/>
    </xf>
    <xf numFmtId="49" fontId="87" fillId="0" borderId="0" xfId="2" applyNumberFormat="1" applyFont="1" applyBorder="1" applyAlignment="1">
      <alignment horizontal="center"/>
    </xf>
    <xf numFmtId="0" fontId="87" fillId="0" borderId="0" xfId="2" applyFont="1" applyAlignment="1">
      <alignment horizontal="center"/>
    </xf>
    <xf numFmtId="0" fontId="58" fillId="0" borderId="0" xfId="2" applyFont="1" applyBorder="1"/>
    <xf numFmtId="0" fontId="54" fillId="0" borderId="0" xfId="2" applyFont="1" applyBorder="1" applyAlignment="1">
      <alignment horizontal="center"/>
    </xf>
    <xf numFmtId="0" fontId="50" fillId="0" borderId="0" xfId="2" applyFont="1" applyBorder="1" applyAlignment="1">
      <alignment horizontal="right"/>
    </xf>
    <xf numFmtId="0" fontId="1" fillId="0" borderId="0" xfId="2" applyFont="1" applyBorder="1"/>
    <xf numFmtId="0" fontId="54" fillId="0" borderId="0" xfId="2" applyFont="1" applyBorder="1" applyAlignment="1">
      <alignment horizontal="left"/>
    </xf>
    <xf numFmtId="0" fontId="50" fillId="0" borderId="0" xfId="2" applyFont="1" applyBorder="1"/>
    <xf numFmtId="0" fontId="54" fillId="0" borderId="0" xfId="2" applyFont="1" applyBorder="1" applyAlignment="1"/>
    <xf numFmtId="0" fontId="50" fillId="0" borderId="1" xfId="0" applyFont="1" applyBorder="1" applyAlignment="1">
      <alignment horizontal="left"/>
    </xf>
    <xf numFmtId="20" fontId="53" fillId="0" borderId="0" xfId="0" applyNumberFormat="1" applyFont="1" applyBorder="1" applyAlignment="1">
      <alignment horizontal="left"/>
    </xf>
    <xf numFmtId="0" fontId="61" fillId="0" borderId="0" xfId="2" applyFont="1" applyBorder="1" applyAlignment="1">
      <alignment horizontal="center"/>
    </xf>
    <xf numFmtId="0" fontId="58" fillId="0" borderId="0" xfId="2" applyFont="1" applyBorder="1" applyAlignment="1"/>
    <xf numFmtId="0" fontId="58" fillId="0" borderId="0" xfId="2" applyFont="1" applyAlignment="1">
      <alignment wrapText="1"/>
    </xf>
    <xf numFmtId="0" fontId="54" fillId="0" borderId="1" xfId="2" applyFont="1" applyBorder="1" applyAlignment="1">
      <alignment horizontal="left"/>
    </xf>
    <xf numFmtId="0" fontId="1" fillId="0" borderId="0" xfId="2" applyFont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77" fillId="0" borderId="0" xfId="0" applyFont="1" applyBorder="1" applyAlignment="1">
      <alignment horizontal="center"/>
    </xf>
    <xf numFmtId="0" fontId="56" fillId="0" borderId="0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41" fillId="0" borderId="0" xfId="0" applyFont="1" applyBorder="1" applyAlignment="1">
      <alignment horizontal="left"/>
    </xf>
    <xf numFmtId="0" fontId="18" fillId="0" borderId="1" xfId="0" applyFont="1" applyBorder="1"/>
    <xf numFmtId="0" fontId="95" fillId="0" borderId="0" xfId="2" applyFont="1" applyBorder="1" applyAlignment="1">
      <alignment horizontal="right"/>
    </xf>
    <xf numFmtId="0" fontId="95" fillId="0" borderId="0" xfId="2" applyFont="1" applyBorder="1"/>
    <xf numFmtId="0" fontId="94" fillId="0" borderId="0" xfId="2" applyFont="1" applyBorder="1"/>
    <xf numFmtId="0" fontId="94" fillId="0" borderId="0" xfId="2" applyFont="1" applyBorder="1" applyAlignment="1">
      <alignment horizontal="center"/>
    </xf>
    <xf numFmtId="0" fontId="94" fillId="0" borderId="0" xfId="2" applyFont="1" applyBorder="1" applyAlignment="1">
      <alignment horizontal="right"/>
    </xf>
    <xf numFmtId="0" fontId="47" fillId="0" borderId="0" xfId="2" applyFont="1" applyBorder="1"/>
    <xf numFmtId="0" fontId="73" fillId="0" borderId="0" xfId="2" applyFont="1" applyBorder="1"/>
    <xf numFmtId="0" fontId="64" fillId="0" borderId="0" xfId="2" applyFont="1" applyBorder="1"/>
    <xf numFmtId="0" fontId="65" fillId="0" borderId="0" xfId="2" applyFont="1" applyBorder="1" applyAlignment="1">
      <alignment horizontal="right"/>
    </xf>
    <xf numFmtId="0" fontId="57" fillId="0" borderId="0" xfId="2" applyFont="1" applyBorder="1" applyAlignment="1">
      <alignment horizontal="center"/>
    </xf>
    <xf numFmtId="0" fontId="57" fillId="0" borderId="0" xfId="2" applyFont="1" applyBorder="1"/>
    <xf numFmtId="0" fontId="57" fillId="0" borderId="0" xfId="2" applyFont="1" applyBorder="1" applyAlignment="1">
      <alignment horizontal="right"/>
    </xf>
    <xf numFmtId="0" fontId="73" fillId="0" borderId="0" xfId="2" applyFont="1" applyBorder="1" applyAlignment="1">
      <alignment horizontal="center"/>
    </xf>
    <xf numFmtId="0" fontId="57" fillId="0" borderId="0" xfId="2" applyFont="1" applyBorder="1" applyAlignment="1">
      <alignment horizontal="left"/>
    </xf>
    <xf numFmtId="0" fontId="66" fillId="0" borderId="0" xfId="2" applyFont="1" applyBorder="1" applyAlignment="1"/>
    <xf numFmtId="0" fontId="74" fillId="0" borderId="0" xfId="2" applyFont="1" applyBorder="1"/>
    <xf numFmtId="0" fontId="65" fillId="0" borderId="0" xfId="2" applyFont="1" applyBorder="1"/>
    <xf numFmtId="0" fontId="75" fillId="0" borderId="0" xfId="2" applyFont="1" applyBorder="1"/>
    <xf numFmtId="0" fontId="57" fillId="0" borderId="0" xfId="2" applyFont="1" applyBorder="1" applyAlignment="1"/>
    <xf numFmtId="0" fontId="109" fillId="0" borderId="0" xfId="2" applyFont="1" applyBorder="1"/>
    <xf numFmtId="0" fontId="65" fillId="0" borderId="0" xfId="2" applyFont="1" applyBorder="1" applyAlignment="1"/>
    <xf numFmtId="0" fontId="32" fillId="0" borderId="0" xfId="2" applyFont="1"/>
    <xf numFmtId="0" fontId="48" fillId="0" borderId="0" xfId="2" applyFont="1"/>
    <xf numFmtId="0" fontId="32" fillId="0" borderId="0" xfId="2" applyFont="1" applyBorder="1"/>
    <xf numFmtId="0" fontId="48" fillId="0" borderId="0" xfId="2" applyFont="1" applyBorder="1"/>
    <xf numFmtId="0" fontId="56" fillId="0" borderId="0" xfId="2" applyFont="1" applyBorder="1" applyAlignment="1"/>
    <xf numFmtId="0" fontId="18" fillId="0" borderId="0" xfId="2" applyFont="1" applyBorder="1" applyAlignment="1"/>
    <xf numFmtId="0" fontId="47" fillId="0" borderId="0" xfId="2" applyFont="1"/>
    <xf numFmtId="0" fontId="57" fillId="0" borderId="0" xfId="2" applyFont="1" applyAlignment="1">
      <alignment horizontal="right"/>
    </xf>
    <xf numFmtId="0" fontId="57" fillId="0" borderId="0" xfId="2" applyFont="1" applyAlignment="1">
      <alignment horizontal="center"/>
    </xf>
    <xf numFmtId="0" fontId="73" fillId="0" borderId="0" xfId="2" applyFont="1" applyAlignment="1">
      <alignment horizontal="center"/>
    </xf>
    <xf numFmtId="0" fontId="73" fillId="0" borderId="0" xfId="2" applyFont="1"/>
    <xf numFmtId="0" fontId="103" fillId="0" borderId="0" xfId="0" applyFont="1" applyBorder="1" applyAlignment="1"/>
    <xf numFmtId="0" fontId="77" fillId="0" borderId="0" xfId="0" applyFont="1" applyBorder="1" applyAlignment="1">
      <alignment horizontal="left"/>
    </xf>
    <xf numFmtId="0" fontId="77" fillId="0" borderId="0" xfId="0" applyFont="1" applyBorder="1"/>
    <xf numFmtId="0" fontId="74" fillId="0" borderId="0" xfId="0" applyFont="1" applyBorder="1"/>
    <xf numFmtId="0" fontId="94" fillId="0" borderId="0" xfId="0" applyFont="1" applyBorder="1" applyAlignment="1">
      <alignment horizontal="left"/>
    </xf>
    <xf numFmtId="0" fontId="76" fillId="0" borderId="0" xfId="0" applyFont="1" applyBorder="1" applyAlignment="1"/>
    <xf numFmtId="0" fontId="110" fillId="0" borderId="0" xfId="0" applyFont="1" applyBorder="1" applyAlignment="1">
      <alignment horizontal="center"/>
    </xf>
    <xf numFmtId="0" fontId="111" fillId="0" borderId="0" xfId="0" applyFont="1" applyBorder="1" applyAlignment="1">
      <alignment horizontal="left"/>
    </xf>
    <xf numFmtId="14" fontId="94" fillId="0" borderId="0" xfId="0" applyNumberFormat="1" applyFont="1" applyBorder="1" applyAlignment="1">
      <alignment horizontal="left"/>
    </xf>
    <xf numFmtId="0" fontId="74" fillId="0" borderId="0" xfId="0" applyFont="1" applyBorder="1" applyAlignment="1"/>
    <xf numFmtId="0" fontId="76" fillId="0" borderId="0" xfId="0" applyFont="1" applyBorder="1" applyAlignment="1">
      <alignment horizontal="center"/>
    </xf>
    <xf numFmtId="0" fontId="114" fillId="0" borderId="0" xfId="0" applyFont="1" applyBorder="1" applyAlignment="1">
      <alignment horizontal="left"/>
    </xf>
    <xf numFmtId="0" fontId="115" fillId="0" borderId="0" xfId="0" applyFont="1" applyBorder="1" applyAlignment="1">
      <alignment horizontal="center"/>
    </xf>
    <xf numFmtId="0" fontId="94" fillId="0" borderId="0" xfId="0" applyFont="1" applyBorder="1" applyAlignment="1">
      <alignment horizontal="right"/>
    </xf>
    <xf numFmtId="0" fontId="21" fillId="0" borderId="0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center"/>
    </xf>
    <xf numFmtId="0" fontId="70" fillId="0" borderId="3" xfId="0" applyFont="1" applyBorder="1" applyAlignment="1">
      <alignment horizontal="center"/>
    </xf>
    <xf numFmtId="0" fontId="70" fillId="0" borderId="4" xfId="0" applyFont="1" applyBorder="1" applyAlignment="1">
      <alignment horizontal="center"/>
    </xf>
    <xf numFmtId="0" fontId="70" fillId="0" borderId="5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6" fillId="0" borderId="0" xfId="0" applyFont="1" applyBorder="1" applyAlignment="1">
      <alignment horizontal="center"/>
    </xf>
    <xf numFmtId="0" fontId="65" fillId="0" borderId="0" xfId="0" applyFont="1" applyBorder="1" applyAlignment="1">
      <alignment horizontal="left"/>
    </xf>
    <xf numFmtId="0" fontId="103" fillId="0" borderId="0" xfId="0" applyFont="1" applyBorder="1" applyAlignment="1">
      <alignment horizontal="center"/>
    </xf>
    <xf numFmtId="0" fontId="77" fillId="0" borderId="0" xfId="0" applyFont="1" applyBorder="1" applyAlignment="1">
      <alignment horizontal="center"/>
    </xf>
    <xf numFmtId="0" fontId="95" fillId="0" borderId="0" xfId="0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0" fontId="46" fillId="0" borderId="4" xfId="0" applyFont="1" applyBorder="1" applyAlignment="1">
      <alignment horizontal="center"/>
    </xf>
    <xf numFmtId="0" fontId="46" fillId="0" borderId="5" xfId="0" applyFont="1" applyBorder="1" applyAlignment="1">
      <alignment horizontal="center"/>
    </xf>
    <xf numFmtId="0" fontId="19" fillId="0" borderId="0" xfId="0" applyFont="1" applyAlignment="1">
      <alignment horizontal="right"/>
    </xf>
    <xf numFmtId="0" fontId="60" fillId="0" borderId="0" xfId="0" applyFont="1" applyAlignment="1">
      <alignment horizontal="center"/>
    </xf>
    <xf numFmtId="14" fontId="32" fillId="0" borderId="3" xfId="0" applyNumberFormat="1" applyFont="1" applyBorder="1" applyAlignment="1">
      <alignment horizontal="center"/>
    </xf>
    <xf numFmtId="14" fontId="32" fillId="0" borderId="5" xfId="0" applyNumberFormat="1" applyFont="1" applyBorder="1" applyAlignment="1">
      <alignment horizontal="center"/>
    </xf>
    <xf numFmtId="0" fontId="55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76" fillId="0" borderId="0" xfId="0" applyFont="1" applyBorder="1" applyAlignment="1">
      <alignment horizontal="center"/>
    </xf>
    <xf numFmtId="49" fontId="70" fillId="0" borderId="1" xfId="0" applyNumberFormat="1" applyFont="1" applyBorder="1" applyAlignment="1">
      <alignment horizontal="center"/>
    </xf>
    <xf numFmtId="0" fontId="112" fillId="0" borderId="0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74" fillId="0" borderId="0" xfId="0" applyFont="1" applyBorder="1" applyAlignment="1">
      <alignment horizontal="center"/>
    </xf>
    <xf numFmtId="0" fontId="113" fillId="0" borderId="0" xfId="0" applyFont="1" applyBorder="1" applyAlignment="1">
      <alignment horizontal="center"/>
    </xf>
    <xf numFmtId="0" fontId="56" fillId="0" borderId="0" xfId="0" applyFont="1" applyBorder="1" applyAlignment="1">
      <alignment horizontal="center"/>
    </xf>
    <xf numFmtId="0" fontId="51" fillId="0" borderId="0" xfId="0" applyFont="1" applyBorder="1" applyAlignment="1">
      <alignment horizontal="center"/>
    </xf>
    <xf numFmtId="0" fontId="103" fillId="0" borderId="0" xfId="0" applyFont="1" applyBorder="1" applyAlignment="1">
      <alignment horizontal="right"/>
    </xf>
    <xf numFmtId="0" fontId="18" fillId="0" borderId="0" xfId="0" applyFont="1" applyBorder="1" applyAlignment="1">
      <alignment horizontal="center"/>
    </xf>
    <xf numFmtId="0" fontId="89" fillId="0" borderId="0" xfId="0" applyFont="1" applyAlignment="1">
      <alignment horizontal="center"/>
    </xf>
    <xf numFmtId="0" fontId="78" fillId="0" borderId="0" xfId="0" applyFont="1" applyBorder="1" applyAlignment="1">
      <alignment horizontal="left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55" fillId="0" borderId="0" xfId="0" applyFont="1" applyBorder="1" applyAlignment="1">
      <alignment horizontal="right"/>
    </xf>
    <xf numFmtId="0" fontId="81" fillId="0" borderId="0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49" fillId="0" borderId="0" xfId="0" applyFont="1" applyBorder="1" applyAlignment="1">
      <alignment horizontal="center"/>
    </xf>
    <xf numFmtId="0" fontId="46" fillId="0" borderId="0" xfId="0" applyFont="1" applyBorder="1" applyAlignment="1">
      <alignment horizontal="left"/>
    </xf>
    <xf numFmtId="0" fontId="78" fillId="0" borderId="0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4" fillId="0" borderId="0" xfId="0" applyFont="1" applyAlignment="1">
      <alignment horizontal="center"/>
    </xf>
    <xf numFmtId="0" fontId="52" fillId="0" borderId="2" xfId="0" applyFont="1" applyBorder="1" applyAlignment="1">
      <alignment horizontal="left"/>
    </xf>
    <xf numFmtId="0" fontId="52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78" fillId="0" borderId="9" xfId="0" applyFont="1" applyBorder="1" applyAlignment="1">
      <alignment horizontal="center" vertical="center"/>
    </xf>
    <xf numFmtId="0" fontId="78" fillId="0" borderId="3" xfId="0" applyFont="1" applyBorder="1" applyAlignment="1">
      <alignment horizontal="center" vertical="center"/>
    </xf>
    <xf numFmtId="0" fontId="78" fillId="0" borderId="5" xfId="0" applyFont="1" applyBorder="1" applyAlignment="1">
      <alignment horizontal="center" vertical="center"/>
    </xf>
    <xf numFmtId="0" fontId="97" fillId="0" borderId="0" xfId="0" applyFont="1" applyBorder="1" applyAlignment="1">
      <alignment horizontal="center"/>
    </xf>
    <xf numFmtId="0" fontId="95" fillId="0" borderId="1" xfId="0" applyFont="1" applyBorder="1" applyAlignment="1">
      <alignment horizontal="center"/>
    </xf>
    <xf numFmtId="0" fontId="90" fillId="0" borderId="0" xfId="0" applyFont="1" applyAlignment="1">
      <alignment horizontal="center"/>
    </xf>
    <xf numFmtId="0" fontId="52" fillId="0" borderId="2" xfId="0" applyFont="1" applyBorder="1" applyAlignment="1">
      <alignment horizontal="center"/>
    </xf>
    <xf numFmtId="0" fontId="52" fillId="0" borderId="0" xfId="0" applyFont="1" applyAlignment="1">
      <alignment horizontal="center"/>
    </xf>
    <xf numFmtId="14" fontId="26" fillId="0" borderId="3" xfId="0" applyNumberFormat="1" applyFont="1" applyBorder="1" applyAlignment="1">
      <alignment horizontal="center"/>
    </xf>
    <xf numFmtId="14" fontId="26" fillId="0" borderId="4" xfId="0" applyNumberFormat="1" applyFont="1" applyBorder="1" applyAlignment="1">
      <alignment horizontal="center"/>
    </xf>
    <xf numFmtId="14" fontId="26" fillId="0" borderId="5" xfId="0" applyNumberFormat="1" applyFont="1" applyBorder="1" applyAlignment="1">
      <alignment horizontal="center"/>
    </xf>
    <xf numFmtId="49" fontId="52" fillId="0" borderId="3" xfId="0" applyNumberFormat="1" applyFont="1" applyBorder="1" applyAlignment="1">
      <alignment horizontal="center"/>
    </xf>
    <xf numFmtId="49" fontId="52" fillId="0" borderId="5" xfId="0" applyNumberFormat="1" applyFont="1" applyBorder="1" applyAlignment="1">
      <alignment horizontal="center"/>
    </xf>
    <xf numFmtId="0" fontId="51" fillId="0" borderId="0" xfId="0" applyFont="1" applyBorder="1" applyAlignment="1">
      <alignment horizontal="right"/>
    </xf>
    <xf numFmtId="0" fontId="1" fillId="0" borderId="2" xfId="2" applyFont="1" applyBorder="1" applyAlignment="1">
      <alignment horizontal="center"/>
    </xf>
    <xf numFmtId="0" fontId="1" fillId="0" borderId="0" xfId="2" applyFont="1" applyAlignment="1">
      <alignment horizontal="center"/>
    </xf>
    <xf numFmtId="0" fontId="47" fillId="0" borderId="0" xfId="2" applyFont="1" applyBorder="1" applyAlignment="1">
      <alignment horizontal="center"/>
    </xf>
    <xf numFmtId="0" fontId="65" fillId="0" borderId="0" xfId="2" applyFont="1" applyBorder="1" applyAlignment="1">
      <alignment horizontal="center"/>
    </xf>
    <xf numFmtId="0" fontId="57" fillId="0" borderId="0" xfId="2" applyFont="1" applyBorder="1" applyAlignment="1">
      <alignment horizontal="center"/>
    </xf>
    <xf numFmtId="0" fontId="17" fillId="0" borderId="0" xfId="2" applyFont="1" applyBorder="1" applyAlignment="1">
      <alignment horizontal="center"/>
    </xf>
    <xf numFmtId="0" fontId="18" fillId="0" borderId="0" xfId="2" applyFont="1" applyBorder="1" applyAlignment="1">
      <alignment horizontal="center"/>
    </xf>
    <xf numFmtId="0" fontId="78" fillId="0" borderId="0" xfId="2" applyFont="1" applyBorder="1" applyAlignment="1">
      <alignment horizontal="center"/>
    </xf>
    <xf numFmtId="14" fontId="8" fillId="0" borderId="3" xfId="2" applyNumberFormat="1" applyBorder="1" applyAlignment="1">
      <alignment horizontal="center"/>
    </xf>
    <xf numFmtId="0" fontId="8" fillId="0" borderId="4" xfId="2" applyBorder="1" applyAlignment="1">
      <alignment horizontal="center"/>
    </xf>
    <xf numFmtId="0" fontId="8" fillId="0" borderId="5" xfId="2" applyBorder="1" applyAlignment="1">
      <alignment horizontal="center"/>
    </xf>
    <xf numFmtId="0" fontId="51" fillId="0" borderId="0" xfId="2" applyFont="1" applyBorder="1" applyAlignment="1">
      <alignment horizontal="center"/>
    </xf>
    <xf numFmtId="0" fontId="78" fillId="0" borderId="0" xfId="2" applyFont="1" applyBorder="1" applyAlignment="1">
      <alignment horizontal="left"/>
    </xf>
    <xf numFmtId="0" fontId="42" fillId="0" borderId="0" xfId="2" applyFont="1" applyBorder="1" applyAlignment="1">
      <alignment horizontal="right"/>
    </xf>
    <xf numFmtId="0" fontId="89" fillId="0" borderId="0" xfId="2" applyFont="1" applyBorder="1" applyAlignment="1">
      <alignment horizontal="center"/>
    </xf>
    <xf numFmtId="0" fontId="61" fillId="0" borderId="0" xfId="2" applyFont="1" applyAlignment="1">
      <alignment horizontal="center"/>
    </xf>
    <xf numFmtId="0" fontId="58" fillId="0" borderId="0" xfId="2" applyFont="1" applyAlignment="1">
      <alignment horizontal="center"/>
    </xf>
    <xf numFmtId="14" fontId="1" fillId="0" borderId="3" xfId="2" applyNumberFormat="1" applyFont="1" applyBorder="1" applyAlignment="1">
      <alignment horizontal="center"/>
    </xf>
    <xf numFmtId="14" fontId="1" fillId="0" borderId="4" xfId="2" applyNumberFormat="1" applyFont="1" applyBorder="1" applyAlignment="1">
      <alignment horizontal="center"/>
    </xf>
    <xf numFmtId="14" fontId="1" fillId="0" borderId="5" xfId="2" applyNumberFormat="1" applyFont="1" applyBorder="1" applyAlignment="1">
      <alignment horizontal="center"/>
    </xf>
    <xf numFmtId="0" fontId="50" fillId="0" borderId="3" xfId="0" applyFont="1" applyBorder="1" applyAlignment="1">
      <alignment horizontal="center"/>
    </xf>
    <xf numFmtId="0" fontId="50" fillId="0" borderId="4" xfId="0" applyFont="1" applyBorder="1" applyAlignment="1">
      <alignment horizontal="center"/>
    </xf>
    <xf numFmtId="0" fontId="50" fillId="0" borderId="5" xfId="0" applyFont="1" applyBorder="1" applyAlignment="1">
      <alignment horizontal="center"/>
    </xf>
    <xf numFmtId="0" fontId="54" fillId="0" borderId="3" xfId="2" applyFont="1" applyBorder="1" applyAlignment="1">
      <alignment horizontal="left"/>
    </xf>
    <xf numFmtId="0" fontId="54" fillId="0" borderId="4" xfId="2" applyFont="1" applyBorder="1" applyAlignment="1">
      <alignment horizontal="left"/>
    </xf>
    <xf numFmtId="0" fontId="54" fillId="0" borderId="5" xfId="2" applyFont="1" applyBorder="1" applyAlignment="1">
      <alignment horizontal="left"/>
    </xf>
    <xf numFmtId="0" fontId="54" fillId="0" borderId="0" xfId="2" applyFont="1" applyAlignment="1">
      <alignment horizontal="center"/>
    </xf>
    <xf numFmtId="0" fontId="8" fillId="0" borderId="0" xfId="2" applyAlignment="1">
      <alignment horizontal="left"/>
    </xf>
    <xf numFmtId="0" fontId="54" fillId="0" borderId="3" xfId="2" applyFont="1" applyBorder="1" applyAlignment="1">
      <alignment horizontal="center"/>
    </xf>
    <xf numFmtId="0" fontId="54" fillId="0" borderId="4" xfId="2" applyFont="1" applyBorder="1" applyAlignment="1">
      <alignment horizontal="center"/>
    </xf>
    <xf numFmtId="0" fontId="54" fillId="0" borderId="5" xfId="2" applyFont="1" applyBorder="1" applyAlignment="1">
      <alignment horizontal="center"/>
    </xf>
    <xf numFmtId="0" fontId="58" fillId="0" borderId="0" xfId="2" applyFont="1" applyAlignment="1">
      <alignment horizontal="left"/>
    </xf>
    <xf numFmtId="0" fontId="58" fillId="0" borderId="0" xfId="2" applyFont="1" applyBorder="1" applyAlignment="1">
      <alignment horizontal="left"/>
    </xf>
    <xf numFmtId="0" fontId="5" fillId="0" borderId="0" xfId="7" applyAlignment="1">
      <alignment horizontal="left"/>
    </xf>
    <xf numFmtId="0" fontId="54" fillId="0" borderId="3" xfId="7" applyFont="1" applyBorder="1" applyAlignment="1">
      <alignment horizontal="center"/>
    </xf>
    <xf numFmtId="0" fontId="54" fillId="0" borderId="4" xfId="7" applyFont="1" applyBorder="1" applyAlignment="1">
      <alignment horizontal="center"/>
    </xf>
    <xf numFmtId="0" fontId="54" fillId="0" borderId="5" xfId="7" applyFont="1" applyBorder="1" applyAlignment="1">
      <alignment horizontal="center"/>
    </xf>
    <xf numFmtId="0" fontId="17" fillId="0" borderId="0" xfId="7" applyFont="1" applyAlignment="1">
      <alignment horizontal="left"/>
    </xf>
    <xf numFmtId="0" fontId="17" fillId="0" borderId="0" xfId="7" applyFont="1" applyBorder="1" applyAlignment="1">
      <alignment horizontal="left"/>
    </xf>
    <xf numFmtId="0" fontId="18" fillId="0" borderId="3" xfId="7" applyFont="1" applyBorder="1" applyAlignment="1">
      <alignment horizontal="left"/>
    </xf>
    <xf numFmtId="0" fontId="18" fillId="0" borderId="4" xfId="7" applyFont="1" applyBorder="1" applyAlignment="1">
      <alignment horizontal="left"/>
    </xf>
    <xf numFmtId="0" fontId="18" fillId="0" borderId="5" xfId="7" applyFont="1" applyBorder="1" applyAlignment="1">
      <alignment horizontal="left"/>
    </xf>
    <xf numFmtId="0" fontId="54" fillId="0" borderId="0" xfId="7" applyFont="1" applyAlignment="1">
      <alignment horizontal="center"/>
    </xf>
    <xf numFmtId="0" fontId="57" fillId="0" borderId="0" xfId="7" applyFont="1" applyBorder="1" applyAlignment="1">
      <alignment horizontal="center"/>
    </xf>
    <xf numFmtId="0" fontId="61" fillId="0" borderId="0" xfId="7" applyFont="1" applyAlignment="1">
      <alignment horizontal="center"/>
    </xf>
    <xf numFmtId="0" fontId="65" fillId="0" borderId="0" xfId="7" applyFont="1" applyBorder="1" applyAlignment="1">
      <alignment horizontal="center"/>
    </xf>
    <xf numFmtId="0" fontId="46" fillId="0" borderId="3" xfId="7" applyFont="1" applyBorder="1" applyAlignment="1">
      <alignment horizontal="center"/>
    </xf>
    <xf numFmtId="0" fontId="46" fillId="0" borderId="4" xfId="7" applyFont="1" applyBorder="1" applyAlignment="1">
      <alignment horizontal="center"/>
    </xf>
    <xf numFmtId="0" fontId="46" fillId="0" borderId="5" xfId="7" applyFont="1" applyBorder="1" applyAlignment="1">
      <alignment horizontal="center"/>
    </xf>
    <xf numFmtId="0" fontId="58" fillId="0" borderId="0" xfId="7" applyFont="1" applyAlignment="1">
      <alignment horizontal="center"/>
    </xf>
    <xf numFmtId="14" fontId="32" fillId="0" borderId="3" xfId="7" applyNumberFormat="1" applyFont="1" applyBorder="1" applyAlignment="1">
      <alignment horizontal="center"/>
    </xf>
    <xf numFmtId="14" fontId="32" fillId="0" borderId="4" xfId="7" applyNumberFormat="1" applyFont="1" applyBorder="1" applyAlignment="1">
      <alignment horizontal="center"/>
    </xf>
    <xf numFmtId="14" fontId="32" fillId="0" borderId="5" xfId="7" applyNumberFormat="1" applyFont="1" applyBorder="1" applyAlignment="1">
      <alignment horizontal="center"/>
    </xf>
    <xf numFmtId="0" fontId="2" fillId="0" borderId="0" xfId="7" applyFont="1" applyAlignment="1">
      <alignment horizontal="center"/>
    </xf>
    <xf numFmtId="0" fontId="13" fillId="0" borderId="0" xfId="7" applyFont="1" applyAlignment="1">
      <alignment horizontal="center"/>
    </xf>
    <xf numFmtId="0" fontId="32" fillId="0" borderId="0" xfId="7" applyFont="1" applyBorder="1" applyAlignment="1">
      <alignment horizontal="center"/>
    </xf>
    <xf numFmtId="0" fontId="49" fillId="0" borderId="0" xfId="7" applyFont="1" applyBorder="1" applyAlignment="1">
      <alignment horizontal="center"/>
    </xf>
    <xf numFmtId="0" fontId="2" fillId="0" borderId="0" xfId="7" applyFont="1" applyBorder="1" applyAlignment="1">
      <alignment horizontal="center"/>
    </xf>
    <xf numFmtId="0" fontId="74" fillId="0" borderId="0" xfId="7" applyFont="1" applyBorder="1" applyAlignment="1">
      <alignment horizontal="right"/>
    </xf>
    <xf numFmtId="14" fontId="5" fillId="0" borderId="3" xfId="7" applyNumberFormat="1" applyBorder="1" applyAlignment="1">
      <alignment horizontal="center"/>
    </xf>
    <xf numFmtId="0" fontId="5" fillId="0" borderId="4" xfId="7" applyBorder="1" applyAlignment="1">
      <alignment horizontal="center"/>
    </xf>
    <xf numFmtId="0" fontId="5" fillId="0" borderId="5" xfId="7" applyBorder="1" applyAlignment="1">
      <alignment horizontal="center"/>
    </xf>
    <xf numFmtId="0" fontId="42" fillId="0" borderId="0" xfId="7" applyFont="1" applyBorder="1" applyAlignment="1">
      <alignment horizontal="right"/>
    </xf>
    <xf numFmtId="0" fontId="55" fillId="0" borderId="0" xfId="7" applyFont="1" applyBorder="1" applyAlignment="1">
      <alignment horizontal="center"/>
    </xf>
    <xf numFmtId="0" fontId="20" fillId="0" borderId="0" xfId="7" applyFont="1" applyBorder="1" applyAlignment="1">
      <alignment horizontal="left"/>
    </xf>
    <xf numFmtId="0" fontId="17" fillId="0" borderId="0" xfId="7" applyFont="1" applyBorder="1" applyAlignment="1">
      <alignment horizontal="center"/>
    </xf>
    <xf numFmtId="0" fontId="18" fillId="0" borderId="0" xfId="7" applyFont="1" applyBorder="1" applyAlignment="1">
      <alignment horizontal="center"/>
    </xf>
    <xf numFmtId="0" fontId="20" fillId="0" borderId="0" xfId="7" applyFont="1" applyBorder="1" applyAlignment="1">
      <alignment horizontal="center"/>
    </xf>
    <xf numFmtId="0" fontId="13" fillId="0" borderId="0" xfId="7" applyFont="1" applyBorder="1" applyAlignment="1">
      <alignment horizontal="right"/>
    </xf>
    <xf numFmtId="0" fontId="13" fillId="0" borderId="0" xfId="7" applyFont="1" applyAlignment="1">
      <alignment horizontal="right"/>
    </xf>
    <xf numFmtId="0" fontId="51" fillId="0" borderId="0" xfId="7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48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98" fillId="0" borderId="0" xfId="0" applyFont="1" applyBorder="1" applyAlignment="1">
      <alignment horizontal="left"/>
    </xf>
    <xf numFmtId="0" fontId="21" fillId="0" borderId="3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82" fillId="0" borderId="0" xfId="0" applyFont="1" applyAlignment="1">
      <alignment horizontal="left"/>
    </xf>
    <xf numFmtId="0" fontId="56" fillId="0" borderId="0" xfId="0" applyFont="1" applyBorder="1" applyAlignment="1">
      <alignment horizontal="right"/>
    </xf>
    <xf numFmtId="0" fontId="62" fillId="0" borderId="0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32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49" fillId="0" borderId="3" xfId="0" applyNumberFormat="1" applyFont="1" applyBorder="1" applyAlignment="1">
      <alignment horizontal="center"/>
    </xf>
    <xf numFmtId="0" fontId="49" fillId="0" borderId="4" xfId="0" applyFont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22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8" fillId="0" borderId="0" xfId="8" applyFont="1" applyBorder="1" applyAlignment="1">
      <alignment horizontal="center"/>
    </xf>
    <xf numFmtId="0" fontId="22" fillId="0" borderId="0" xfId="8" applyFont="1" applyAlignment="1">
      <alignment horizontal="center"/>
    </xf>
    <xf numFmtId="0" fontId="51" fillId="0" borderId="0" xfId="8" applyFont="1" applyBorder="1" applyAlignment="1">
      <alignment horizontal="right"/>
    </xf>
    <xf numFmtId="0" fontId="78" fillId="0" borderId="0" xfId="8" applyFont="1" applyBorder="1" applyAlignment="1">
      <alignment horizontal="center"/>
    </xf>
    <xf numFmtId="14" fontId="4" fillId="0" borderId="3" xfId="8" applyNumberFormat="1" applyBorder="1" applyAlignment="1">
      <alignment horizontal="center"/>
    </xf>
    <xf numFmtId="0" fontId="4" fillId="0" borderId="4" xfId="8" applyBorder="1" applyAlignment="1">
      <alignment horizontal="center"/>
    </xf>
    <xf numFmtId="0" fontId="4" fillId="0" borderId="5" xfId="8" applyBorder="1" applyAlignment="1">
      <alignment horizontal="center"/>
    </xf>
    <xf numFmtId="0" fontId="14" fillId="0" borderId="3" xfId="8" applyFont="1" applyBorder="1" applyAlignment="1">
      <alignment horizontal="center"/>
    </xf>
    <xf numFmtId="0" fontId="14" fillId="0" borderId="5" xfId="8" applyFont="1" applyBorder="1" applyAlignment="1">
      <alignment horizontal="center"/>
    </xf>
    <xf numFmtId="0" fontId="3" fillId="0" borderId="0" xfId="8" applyFont="1" applyAlignment="1">
      <alignment horizontal="center"/>
    </xf>
    <xf numFmtId="0" fontId="3" fillId="0" borderId="3" xfId="8" applyFont="1" applyBorder="1" applyAlignment="1">
      <alignment horizontal="center"/>
    </xf>
    <xf numFmtId="0" fontId="3" fillId="0" borderId="4" xfId="8" applyFont="1" applyBorder="1" applyAlignment="1">
      <alignment horizontal="center"/>
    </xf>
    <xf numFmtId="0" fontId="3" fillId="0" borderId="5" xfId="8" applyFont="1" applyBorder="1" applyAlignment="1">
      <alignment horizontal="center"/>
    </xf>
    <xf numFmtId="0" fontId="3" fillId="0" borderId="0" xfId="8" applyFont="1" applyBorder="1" applyAlignment="1">
      <alignment horizontal="left"/>
    </xf>
    <xf numFmtId="0" fontId="18" fillId="0" borderId="3" xfId="8" applyFont="1" applyBorder="1" applyAlignment="1">
      <alignment horizontal="center"/>
    </xf>
    <xf numFmtId="0" fontId="18" fillId="0" borderId="4" xfId="8" applyFont="1" applyBorder="1" applyAlignment="1">
      <alignment horizontal="center"/>
    </xf>
    <xf numFmtId="0" fontId="18" fillId="0" borderId="5" xfId="8" applyFont="1" applyBorder="1" applyAlignment="1">
      <alignment horizontal="center"/>
    </xf>
    <xf numFmtId="0" fontId="13" fillId="0" borderId="0" xfId="8" applyFont="1" applyAlignment="1">
      <alignment horizontal="center"/>
    </xf>
    <xf numFmtId="0" fontId="18" fillId="0" borderId="0" xfId="0" applyFont="1" applyAlignment="1">
      <alignment horizontal="center"/>
    </xf>
    <xf numFmtId="0" fontId="59" fillId="0" borderId="0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42" fillId="0" borderId="0" xfId="0" applyFont="1" applyBorder="1" applyAlignment="1">
      <alignment horizontal="right"/>
    </xf>
    <xf numFmtId="0" fontId="50" fillId="0" borderId="0" xfId="0" applyFont="1" applyBorder="1" applyAlignment="1">
      <alignment horizontal="center"/>
    </xf>
    <xf numFmtId="0" fontId="89" fillId="0" borderId="0" xfId="5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86" fillId="0" borderId="0" xfId="5" applyFont="1" applyAlignment="1">
      <alignment horizontal="center"/>
    </xf>
    <xf numFmtId="0" fontId="86" fillId="0" borderId="0" xfId="5" applyFont="1" applyBorder="1" applyAlignment="1">
      <alignment horizontal="center"/>
    </xf>
    <xf numFmtId="0" fontId="55" fillId="0" borderId="0" xfId="5" applyFont="1" applyBorder="1" applyAlignment="1">
      <alignment horizontal="center"/>
    </xf>
    <xf numFmtId="20" fontId="41" fillId="0" borderId="2" xfId="0" applyNumberFormat="1" applyFont="1" applyBorder="1" applyAlignment="1">
      <alignment horizontal="center"/>
    </xf>
    <xf numFmtId="20" fontId="41" fillId="0" borderId="0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8" fillId="0" borderId="0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0" fillId="0" borderId="0" xfId="0" applyFont="1" applyBorder="1" applyAlignment="1">
      <alignment horizontal="center" vertical="top"/>
    </xf>
    <xf numFmtId="0" fontId="3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20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6" fillId="0" borderId="0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101" fillId="0" borderId="0" xfId="0" applyFont="1" applyAlignment="1">
      <alignment horizontal="center"/>
    </xf>
    <xf numFmtId="0" fontId="101" fillId="0" borderId="0" xfId="0" applyFont="1" applyAlignment="1">
      <alignment horizontal="left"/>
    </xf>
    <xf numFmtId="14" fontId="101" fillId="0" borderId="0" xfId="0" applyNumberFormat="1" applyFont="1" applyAlignment="1">
      <alignment horizontal="center"/>
    </xf>
    <xf numFmtId="0" fontId="10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0">
    <cellStyle name="Normal" xfId="0" builtinId="0"/>
    <cellStyle name="Normal 2" xfId="2" xr:uid="{56328412-D08C-4D10-A426-747A3FE0CD1B}"/>
    <cellStyle name="Normal 2 2" xfId="4" xr:uid="{5BA627DB-71B7-4DA4-AE05-4D323FDC0058}"/>
    <cellStyle name="Normal 2 2 2" xfId="7" xr:uid="{F39E1DF3-F563-489D-A9EB-636AECEDB0C5}"/>
    <cellStyle name="Normal 3" xfId="5" xr:uid="{27AA127D-3085-4097-99D4-566EF53A0342}"/>
    <cellStyle name="Normal 4" xfId="8" xr:uid="{1A4881F0-9A8F-4593-945A-F0A3FF0545AA}"/>
    <cellStyle name="Porcentaje" xfId="1" builtinId="5"/>
    <cellStyle name="Porcentaje 2" xfId="3" xr:uid="{300A3CD3-39AA-468F-BF79-FAA52F2123E3}"/>
    <cellStyle name="Porcentaje 3" xfId="6" xr:uid="{135F5B0F-78DC-436E-9EAD-64F6EA6E27AB}"/>
    <cellStyle name="Porcentaje 4" xfId="9" xr:uid="{D256AB43-68A5-440E-856C-884885B735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571791777998297E-2"/>
          <c:y val="5.1489997935966002E-2"/>
          <c:w val="0.852886641801335"/>
          <c:h val="0.79787418959275302"/>
        </c:manualLayout>
      </c:layout>
      <c:lineChart>
        <c:grouping val="standard"/>
        <c:varyColors val="0"/>
        <c:ser>
          <c:idx val="1"/>
          <c:order val="1"/>
          <c:cat>
            <c:numRef>
              <c:f>'CURV TOLERANCIA'!$I$12:$I$16</c:f>
              <c:numCache>
                <c:formatCode>h:mm</c:formatCode>
                <c:ptCount val="5"/>
                <c:pt idx="0">
                  <c:v>0.20833333333333334</c:v>
                </c:pt>
                <c:pt idx="1">
                  <c:v>0.22916666666666666</c:v>
                </c:pt>
                <c:pt idx="2">
                  <c:v>0.25</c:v>
                </c:pt>
                <c:pt idx="3">
                  <c:v>0.27083333333333331</c:v>
                </c:pt>
                <c:pt idx="4">
                  <c:v>0.29166666666666669</c:v>
                </c:pt>
              </c:numCache>
            </c:numRef>
          </c:cat>
          <c:val>
            <c:numRef>
              <c:f>'CURV TOLERANCIA'!$K$12:$K$16</c:f>
              <c:numCache>
                <c:formatCode>0.0</c:formatCode>
                <c:ptCount val="5"/>
                <c:pt idx="0">
                  <c:v>98</c:v>
                </c:pt>
                <c:pt idx="1">
                  <c:v>94.4</c:v>
                </c:pt>
                <c:pt idx="2">
                  <c:v>140</c:v>
                </c:pt>
                <c:pt idx="3">
                  <c:v>155.4</c:v>
                </c:pt>
                <c:pt idx="4">
                  <c:v>180.1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17-44E9-9932-1656454B5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32096"/>
        <c:axId val="833338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cat>
                  <c:numRef>
                    <c:extLst>
                      <c:ext uri="{02D57815-91ED-43cb-92C2-25804820EDAC}">
                        <c15:formulaRef>
                          <c15:sqref>'CURV TOLERANCIA'!$I$12:$I$16</c15:sqref>
                        </c15:formulaRef>
                      </c:ext>
                    </c:extLst>
                    <c:numCache>
                      <c:formatCode>h:mm</c:formatCode>
                      <c:ptCount val="5"/>
                      <c:pt idx="0">
                        <c:v>0.20833333333333334</c:v>
                      </c:pt>
                      <c:pt idx="1">
                        <c:v>0.22916666666666666</c:v>
                      </c:pt>
                      <c:pt idx="2">
                        <c:v>0.25</c:v>
                      </c:pt>
                      <c:pt idx="3">
                        <c:v>0.27083333333333331</c:v>
                      </c:pt>
                      <c:pt idx="4">
                        <c:v>0.29166666666666669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'CURV TOLERANCIA'!$J$12:$J$16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E17-44E9-9932-1656454B5392}"/>
                  </c:ext>
                </c:extLst>
              </c15:ser>
            </c15:filteredLineSeries>
            <c15:filteredLineSeries>
              <c15:ser>
                <c:idx val="2"/>
                <c:order val="2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 TOLERANCIA'!$I$12:$I$16</c15:sqref>
                        </c15:formulaRef>
                      </c:ext>
                    </c:extLst>
                    <c:numCache>
                      <c:formatCode>h:mm</c:formatCode>
                      <c:ptCount val="5"/>
                      <c:pt idx="0">
                        <c:v>0.20833333333333334</c:v>
                      </c:pt>
                      <c:pt idx="1">
                        <c:v>0.22916666666666666</c:v>
                      </c:pt>
                      <c:pt idx="2">
                        <c:v>0.25</c:v>
                      </c:pt>
                      <c:pt idx="3">
                        <c:v>0.27083333333333331</c:v>
                      </c:pt>
                      <c:pt idx="4">
                        <c:v>0.29166666666666669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 TOLERANCIA'!$L$12:$L$16</c15:sqref>
                        </c15:formulaRef>
                      </c:ext>
                    </c:extLst>
                    <c:numCache>
                      <c:formatCode>0.0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E17-44E9-9932-1656454B5392}"/>
                  </c:ext>
                </c:extLst>
              </c15:ser>
            </c15:filteredLineSeries>
          </c:ext>
        </c:extLst>
      </c:lineChart>
      <c:catAx>
        <c:axId val="83332096"/>
        <c:scaling>
          <c:orientation val="minMax"/>
        </c:scaling>
        <c:delete val="0"/>
        <c:axPos val="b"/>
        <c:majorGridlines/>
        <c:minorGridlines/>
        <c:numFmt formatCode="h: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3333888"/>
        <c:crosses val="autoZero"/>
        <c:auto val="1"/>
        <c:lblAlgn val="ctr"/>
        <c:lblOffset val="100"/>
        <c:noMultiLvlLbl val="1"/>
      </c:catAx>
      <c:valAx>
        <c:axId val="83333888"/>
        <c:scaling>
          <c:orientation val="minMax"/>
          <c:min val="0"/>
        </c:scaling>
        <c:delete val="0"/>
        <c:axPos val="l"/>
        <c:majorGridlines/>
        <c:minorGridlines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3332096"/>
        <c:crosses val="autoZero"/>
        <c:crossBetween val="between"/>
      </c:valAx>
    </c:plotArea>
    <c:plotVisOnly val="1"/>
    <c:dispBlanksAs val="span"/>
    <c:showDLblsOverMax val="0"/>
    <c:extLst>
      <c:ext uri="{0b15fc19-7d7d-44ad-8c2d-2c3a37ce22c3}">
        <chartProps xmlns="https://web.wps.cn/et/2018/main" chartId="{824c46ae-e090-41ec-be34-51321aaddc5e}"/>
      </c:ext>
    </c:extLst>
  </c:chart>
  <c:spPr>
    <a:ln w="12700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scene3d>
      <a:camera prst="orthographicFront"/>
      <a:lightRig rig="soft" dir="t">
        <a:rot lat="0" lon="0" rev="0"/>
      </a:lightRig>
    </a:scene3d>
    <a:sp3d prstMaterial="matte">
      <a:bevelT w="63500" h="63500" prst="artDeco"/>
      <a:contourClr>
        <a:srgbClr val="000000"/>
      </a:contourClr>
    </a:sp3d>
  </c:spPr>
  <c:txPr>
    <a:bodyPr/>
    <a:lstStyle/>
    <a:p>
      <a:pPr>
        <a:defRPr lang="es-ES"/>
      </a:pPr>
      <a:endParaRPr lang="es-BO"/>
    </a:p>
  </c:txPr>
  <c:printSettings>
    <c:headerFooter/>
    <c:pageMargins b="0.75" l="0.7" r="0.7" t="0.75" header="0.3" footer="0.3"/>
    <c:pageSetup/>
  </c:printSettings>
</c:chartSpac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178593</xdr:colOff>
      <xdr:row>16</xdr:row>
      <xdr:rowOff>71438</xdr:rowOff>
    </xdr:from>
    <xdr:to>
      <xdr:col>16</xdr:col>
      <xdr:colOff>154781</xdr:colOff>
      <xdr:row>30</xdr:row>
      <xdr:rowOff>119063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0AA7-B9E4-40B7-A3D2-86F82E7302D8}">
  <dimension ref="A2:P114"/>
  <sheetViews>
    <sheetView view="pageLayout" topLeftCell="A25" zoomScale="106" zoomScaleNormal="100" zoomScalePageLayoutView="106" workbookViewId="0">
      <selection activeCell="E43" sqref="E43"/>
    </sheetView>
  </sheetViews>
  <sheetFormatPr baseColWidth="10" defaultColWidth="11" defaultRowHeight="15"/>
  <cols>
    <col min="1" max="1" width="5.7109375" customWidth="1"/>
    <col min="2" max="2" width="14.5703125" customWidth="1"/>
    <col min="3" max="3" width="9.85546875" customWidth="1"/>
    <col min="4" max="4" width="10.28515625" customWidth="1"/>
    <col min="5" max="5" width="11.7109375" customWidth="1"/>
    <col min="6" max="6" width="13.5703125" customWidth="1"/>
    <col min="7" max="7" width="1.140625" customWidth="1"/>
    <col min="8" max="8" width="0.28515625" hidden="1" customWidth="1"/>
    <col min="9" max="9" width="4.7109375" hidden="1" customWidth="1"/>
    <col min="10" max="10" width="11.140625" customWidth="1"/>
    <col min="11" max="11" width="5.85546875" customWidth="1"/>
    <col min="12" max="12" width="7" customWidth="1"/>
    <col min="13" max="13" width="12.42578125" customWidth="1"/>
  </cols>
  <sheetData>
    <row r="2" spans="1:14" ht="12.75" customHeight="1">
      <c r="A2" s="8"/>
      <c r="B2" s="10"/>
      <c r="C2" s="10"/>
      <c r="D2" s="10"/>
      <c r="E2" s="669"/>
      <c r="F2" s="669"/>
      <c r="G2" s="669"/>
      <c r="H2" s="10"/>
    </row>
    <row r="3" spans="1:14" ht="16.5" customHeight="1">
      <c r="A3" s="8"/>
      <c r="B3" s="670" t="s">
        <v>0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5"/>
      <c r="N3" s="26"/>
    </row>
    <row r="4" spans="1:14" ht="21.75" customHeight="1">
      <c r="A4" s="8"/>
      <c r="B4" s="528" t="s">
        <v>1</v>
      </c>
      <c r="C4" s="671"/>
      <c r="D4" s="671"/>
      <c r="E4" s="671"/>
      <c r="F4" s="423" t="s">
        <v>328</v>
      </c>
      <c r="G4" s="523"/>
      <c r="H4" s="12"/>
      <c r="I4" s="5"/>
      <c r="J4" s="6" t="s">
        <v>2</v>
      </c>
      <c r="K4" s="672">
        <v>45770</v>
      </c>
      <c r="L4" s="673"/>
      <c r="M4" s="674"/>
      <c r="N4" s="26"/>
    </row>
    <row r="5" spans="1:14" ht="15" customHeight="1">
      <c r="A5" s="8"/>
      <c r="B5" s="528" t="s">
        <v>369</v>
      </c>
      <c r="C5" s="671" t="s">
        <v>4</v>
      </c>
      <c r="D5" s="671"/>
      <c r="E5" s="423"/>
      <c r="F5" s="423" t="s">
        <v>169</v>
      </c>
      <c r="G5" s="12"/>
      <c r="H5" s="14"/>
      <c r="I5" s="5"/>
      <c r="J5" s="5"/>
      <c r="K5" s="5"/>
      <c r="L5" s="5"/>
      <c r="M5" s="5"/>
      <c r="N5" s="26"/>
    </row>
    <row r="6" spans="1:14" ht="7.5" customHeight="1">
      <c r="A6" s="8"/>
      <c r="B6" s="527"/>
      <c r="C6" s="527"/>
      <c r="D6" s="527"/>
      <c r="E6" s="527"/>
      <c r="F6" s="527"/>
      <c r="G6" s="15"/>
      <c r="H6" s="16"/>
      <c r="I6" s="5"/>
      <c r="J6" s="5"/>
      <c r="K6" s="5"/>
      <c r="L6" s="5"/>
      <c r="M6" s="5"/>
      <c r="N6" s="26"/>
    </row>
    <row r="7" spans="1:14" ht="14.25" customHeight="1">
      <c r="A7" s="8"/>
      <c r="B7" s="667" t="s">
        <v>5</v>
      </c>
      <c r="C7" s="667"/>
      <c r="D7" s="667"/>
      <c r="E7" s="667"/>
      <c r="F7" s="667"/>
      <c r="G7" s="618"/>
      <c r="H7" s="618"/>
      <c r="I7" s="618"/>
      <c r="J7" s="668" t="s">
        <v>6</v>
      </c>
      <c r="K7" s="668"/>
      <c r="L7" s="668"/>
      <c r="M7" s="618"/>
      <c r="N7" s="118"/>
    </row>
    <row r="8" spans="1:14" ht="14.25" customHeight="1">
      <c r="A8" s="8"/>
      <c r="B8" s="15"/>
      <c r="C8" s="15"/>
      <c r="D8" s="15"/>
      <c r="E8" s="658" t="s">
        <v>7</v>
      </c>
      <c r="F8" s="658"/>
      <c r="G8" s="619"/>
      <c r="H8" s="620"/>
      <c r="I8" s="621"/>
      <c r="J8" s="620"/>
      <c r="K8" s="529"/>
      <c r="L8" s="659" t="s">
        <v>8</v>
      </c>
      <c r="M8" s="659"/>
      <c r="N8" s="26"/>
    </row>
    <row r="9" spans="1:14" ht="14.25" customHeight="1">
      <c r="A9" s="8"/>
      <c r="B9" s="15"/>
      <c r="C9" s="15"/>
      <c r="D9" s="15"/>
      <c r="E9" s="188" t="s">
        <v>9</v>
      </c>
      <c r="F9" s="188" t="s">
        <v>10</v>
      </c>
      <c r="G9" s="619"/>
      <c r="H9" s="620"/>
      <c r="I9" s="621"/>
      <c r="J9" s="529" t="s">
        <v>11</v>
      </c>
      <c r="K9" s="530"/>
      <c r="L9" s="580" t="s">
        <v>12</v>
      </c>
      <c r="M9" s="622" t="s">
        <v>13</v>
      </c>
      <c r="N9" s="26"/>
    </row>
    <row r="10" spans="1:14" ht="14.25" customHeight="1">
      <c r="A10" s="8"/>
      <c r="B10" s="425" t="s">
        <v>339</v>
      </c>
      <c r="C10" s="191">
        <f>107000*C12</f>
        <v>0</v>
      </c>
      <c r="D10" s="190" t="s">
        <v>14</v>
      </c>
      <c r="E10" s="192" t="s">
        <v>331</v>
      </c>
      <c r="F10" s="411" t="s">
        <v>332</v>
      </c>
      <c r="G10" s="620"/>
      <c r="H10" s="620"/>
      <c r="I10" s="621"/>
      <c r="J10" s="529" t="s">
        <v>15</v>
      </c>
      <c r="K10" s="530"/>
      <c r="L10" s="580" t="s">
        <v>12</v>
      </c>
      <c r="M10" s="622" t="s">
        <v>16</v>
      </c>
      <c r="N10" s="26"/>
    </row>
    <row r="11" spans="1:14" ht="14.25" customHeight="1">
      <c r="A11" s="8"/>
      <c r="B11" s="425" t="s">
        <v>340</v>
      </c>
      <c r="C11" s="193"/>
      <c r="D11" s="190" t="s">
        <v>14</v>
      </c>
      <c r="E11" s="411" t="s">
        <v>17</v>
      </c>
      <c r="F11" s="411" t="s">
        <v>17</v>
      </c>
      <c r="G11" s="620"/>
      <c r="H11" s="620"/>
      <c r="I11" s="621"/>
      <c r="J11" s="529" t="s">
        <v>18</v>
      </c>
      <c r="K11" s="530"/>
      <c r="L11" s="580" t="s">
        <v>19</v>
      </c>
      <c r="M11" s="622" t="s">
        <v>20</v>
      </c>
      <c r="N11" s="26"/>
    </row>
    <row r="12" spans="1:14" ht="14.25" customHeight="1">
      <c r="A12" s="8"/>
      <c r="B12" s="425" t="s">
        <v>334</v>
      </c>
      <c r="C12" s="194" t="s">
        <v>341</v>
      </c>
      <c r="D12" s="190" t="s">
        <v>21</v>
      </c>
      <c r="E12" s="411" t="s">
        <v>22</v>
      </c>
      <c r="F12" s="411" t="s">
        <v>23</v>
      </c>
      <c r="G12" s="620"/>
      <c r="H12" s="620"/>
      <c r="I12" s="621"/>
      <c r="J12" s="529" t="s">
        <v>24</v>
      </c>
      <c r="K12" s="530"/>
      <c r="L12" s="580" t="s">
        <v>21</v>
      </c>
      <c r="M12" s="622" t="s">
        <v>25</v>
      </c>
      <c r="N12" s="26"/>
    </row>
    <row r="13" spans="1:14" ht="14.25" customHeight="1">
      <c r="A13" s="8"/>
      <c r="B13" s="425" t="s">
        <v>335</v>
      </c>
      <c r="C13" s="195">
        <f>0.32*C12</f>
        <v>0</v>
      </c>
      <c r="D13" s="190" t="s">
        <v>26</v>
      </c>
      <c r="E13" s="411" t="s">
        <v>27</v>
      </c>
      <c r="F13" s="411" t="s">
        <v>28</v>
      </c>
      <c r="G13" s="620"/>
      <c r="H13" s="620"/>
      <c r="I13" s="621"/>
      <c r="J13" s="623" t="s">
        <v>29</v>
      </c>
      <c r="K13" s="530"/>
      <c r="L13" s="624"/>
      <c r="M13" s="625"/>
      <c r="N13" s="26"/>
    </row>
    <row r="14" spans="1:14" ht="14.25" customHeight="1">
      <c r="A14" s="8"/>
      <c r="B14" s="425" t="s">
        <v>31</v>
      </c>
      <c r="C14" s="194"/>
      <c r="D14" s="190" t="s">
        <v>32</v>
      </c>
      <c r="E14" s="194" t="s">
        <v>33</v>
      </c>
      <c r="F14" s="194" t="s">
        <v>34</v>
      </c>
      <c r="G14" s="620"/>
      <c r="H14" s="620"/>
      <c r="I14" s="621"/>
      <c r="J14" s="529" t="s">
        <v>35</v>
      </c>
      <c r="K14" s="530"/>
      <c r="L14" s="580" t="s">
        <v>19</v>
      </c>
      <c r="M14" s="626" t="s">
        <v>36</v>
      </c>
      <c r="N14" s="26"/>
    </row>
    <row r="15" spans="1:14" ht="14.25" customHeight="1">
      <c r="A15" s="8"/>
      <c r="B15" s="426" t="s">
        <v>37</v>
      </c>
      <c r="C15" s="193"/>
      <c r="D15" s="209" t="s">
        <v>38</v>
      </c>
      <c r="E15" s="660" t="s">
        <v>39</v>
      </c>
      <c r="F15" s="660"/>
      <c r="G15" s="620"/>
      <c r="H15" s="620"/>
      <c r="I15" s="621"/>
      <c r="J15" s="661" t="s">
        <v>41</v>
      </c>
      <c r="K15" s="661"/>
      <c r="L15" s="661"/>
      <c r="M15" s="621"/>
      <c r="N15" s="361"/>
    </row>
    <row r="16" spans="1:14" ht="14.25" customHeight="1">
      <c r="A16" s="8"/>
      <c r="B16" s="425"/>
      <c r="C16" s="190"/>
      <c r="D16" s="194"/>
      <c r="E16" s="662" t="s">
        <v>40</v>
      </c>
      <c r="F16" s="663"/>
      <c r="G16" s="620"/>
      <c r="H16" s="620"/>
      <c r="I16" s="621"/>
      <c r="J16" s="627" t="s">
        <v>323</v>
      </c>
      <c r="K16" s="664"/>
      <c r="L16" s="664"/>
      <c r="M16" s="580"/>
      <c r="N16" s="361"/>
    </row>
    <row r="17" spans="1:14" ht="14.25" customHeight="1">
      <c r="A17" s="8"/>
      <c r="B17" s="425" t="s">
        <v>42</v>
      </c>
      <c r="C17" s="389">
        <v>0</v>
      </c>
      <c r="D17" s="200">
        <f>(C17*C11)</f>
        <v>0</v>
      </c>
      <c r="E17" s="201" t="s">
        <v>14</v>
      </c>
      <c r="F17" s="411" t="s">
        <v>43</v>
      </c>
      <c r="G17" s="620"/>
      <c r="H17" s="620"/>
      <c r="I17" s="621"/>
      <c r="J17" s="627" t="s">
        <v>324</v>
      </c>
      <c r="K17" s="664" t="s">
        <v>366</v>
      </c>
      <c r="L17" s="664"/>
      <c r="M17" s="530"/>
      <c r="N17" s="361"/>
    </row>
    <row r="18" spans="1:14" ht="14.25" customHeight="1">
      <c r="A18" s="8"/>
      <c r="B18" s="425" t="s">
        <v>45</v>
      </c>
      <c r="C18" s="371">
        <v>0</v>
      </c>
      <c r="D18" s="200">
        <f>(C18*C11)</f>
        <v>0</v>
      </c>
      <c r="E18" s="201" t="s">
        <v>14</v>
      </c>
      <c r="F18" s="411" t="s">
        <v>46</v>
      </c>
      <c r="G18" s="620"/>
      <c r="H18" s="620"/>
      <c r="I18" s="621"/>
      <c r="J18" s="665" t="s">
        <v>216</v>
      </c>
      <c r="K18" s="665"/>
      <c r="L18" s="665"/>
      <c r="M18" s="627"/>
      <c r="N18" s="361"/>
    </row>
    <row r="19" spans="1:14" ht="14.25" customHeight="1">
      <c r="A19" s="8"/>
      <c r="B19" s="425" t="s">
        <v>48</v>
      </c>
      <c r="C19" s="371">
        <v>0</v>
      </c>
      <c r="D19" s="200">
        <f>(C19*C11)</f>
        <v>0</v>
      </c>
      <c r="E19" s="201" t="s">
        <v>14</v>
      </c>
      <c r="F19" s="411" t="s">
        <v>49</v>
      </c>
      <c r="G19" s="620"/>
      <c r="H19" s="620"/>
      <c r="I19" s="621"/>
      <c r="J19" s="628" t="s">
        <v>217</v>
      </c>
      <c r="K19" s="629" t="s">
        <v>325</v>
      </c>
      <c r="L19" s="629"/>
      <c r="M19" s="629"/>
      <c r="N19" s="361"/>
    </row>
    <row r="20" spans="1:14" ht="14.25" customHeight="1">
      <c r="A20" s="8"/>
      <c r="B20" s="425" t="s">
        <v>50</v>
      </c>
      <c r="C20" s="371">
        <v>0</v>
      </c>
      <c r="D20" s="200">
        <f>(C20*C11)</f>
        <v>0</v>
      </c>
      <c r="E20" s="201" t="s">
        <v>14</v>
      </c>
      <c r="F20" s="194" t="s">
        <v>51</v>
      </c>
      <c r="G20" s="620"/>
      <c r="H20" s="620"/>
      <c r="I20" s="621"/>
      <c r="J20" s="628" t="s">
        <v>219</v>
      </c>
      <c r="K20" s="659" t="s">
        <v>220</v>
      </c>
      <c r="L20" s="659"/>
      <c r="M20" s="621"/>
      <c r="N20" s="361"/>
    </row>
    <row r="21" spans="1:14" ht="14.25" customHeight="1">
      <c r="A21" s="8"/>
      <c r="B21" s="387" t="s">
        <v>54</v>
      </c>
      <c r="C21" s="371">
        <v>0</v>
      </c>
      <c r="D21" s="200">
        <f>(C21*C11)</f>
        <v>0</v>
      </c>
      <c r="E21" s="201" t="s">
        <v>14</v>
      </c>
      <c r="F21" s="190"/>
      <c r="G21" s="620"/>
      <c r="H21" s="620"/>
      <c r="I21" s="621"/>
      <c r="J21" s="630" t="s">
        <v>326</v>
      </c>
      <c r="K21" s="664"/>
      <c r="L21" s="664"/>
      <c r="M21" s="621"/>
      <c r="N21" s="26"/>
    </row>
    <row r="22" spans="1:14" ht="9.75" customHeight="1">
      <c r="A22" s="8"/>
      <c r="B22" s="117"/>
      <c r="C22" s="117"/>
      <c r="D22" s="521"/>
      <c r="E22" s="117"/>
      <c r="F22" s="117"/>
      <c r="G22" s="385"/>
      <c r="H22" s="385"/>
      <c r="I22" s="540"/>
      <c r="J22" s="540"/>
      <c r="K22" s="540"/>
      <c r="L22" s="540"/>
      <c r="M22" s="540"/>
      <c r="N22" s="26"/>
    </row>
    <row r="23" spans="1:14">
      <c r="A23" s="8"/>
      <c r="B23" s="666" t="s">
        <v>55</v>
      </c>
      <c r="C23" s="666"/>
      <c r="D23" s="666"/>
      <c r="E23" s="666"/>
      <c r="F23" s="118"/>
      <c r="G23" s="666" t="s">
        <v>56</v>
      </c>
      <c r="H23" s="666"/>
      <c r="I23" s="666"/>
      <c r="J23" s="666"/>
      <c r="K23" s="666"/>
      <c r="L23" s="666"/>
      <c r="M23" s="361"/>
      <c r="N23" s="363"/>
    </row>
    <row r="24" spans="1:14" ht="3.75" customHeight="1">
      <c r="A24" s="8"/>
      <c r="B24" s="520"/>
      <c r="C24" s="520"/>
      <c r="D24" s="520"/>
      <c r="E24" s="520"/>
      <c r="F24" s="118"/>
      <c r="G24" s="581"/>
      <c r="H24" s="581"/>
      <c r="I24" s="581"/>
      <c r="J24" s="581"/>
      <c r="K24" s="581"/>
      <c r="L24" s="581"/>
      <c r="M24" s="361"/>
      <c r="N24" s="363"/>
    </row>
    <row r="25" spans="1:14" ht="16.5">
      <c r="A25" s="8"/>
      <c r="B25" s="429" t="s">
        <v>57</v>
      </c>
      <c r="C25" s="469"/>
      <c r="D25" s="364" t="s">
        <v>58</v>
      </c>
      <c r="E25" s="519" t="s">
        <v>59</v>
      </c>
      <c r="F25" s="363"/>
      <c r="G25" s="361"/>
      <c r="H25" s="361"/>
      <c r="I25" s="361"/>
      <c r="J25" s="429" t="s">
        <v>60</v>
      </c>
      <c r="K25" s="411"/>
      <c r="L25" s="582" t="s">
        <v>61</v>
      </c>
      <c r="M25" s="431" t="s">
        <v>62</v>
      </c>
      <c r="N25" s="365"/>
    </row>
    <row r="26" spans="1:14" ht="9.9499999999999993" customHeight="1">
      <c r="A26" s="8"/>
      <c r="B26" s="432" t="s">
        <v>45</v>
      </c>
      <c r="C26" s="631"/>
      <c r="D26" s="366">
        <v>0.56999999999999995</v>
      </c>
      <c r="E26" s="183" t="s">
        <v>46</v>
      </c>
      <c r="F26" s="363"/>
      <c r="G26" s="361"/>
      <c r="H26" s="361"/>
      <c r="I26" s="361"/>
      <c r="J26" s="429"/>
      <c r="K26" s="579"/>
      <c r="L26" s="583"/>
      <c r="M26" s="431"/>
      <c r="N26" s="367"/>
    </row>
    <row r="27" spans="1:14" ht="16.5">
      <c r="A27" s="8"/>
      <c r="B27" s="429" t="s">
        <v>63</v>
      </c>
      <c r="C27" s="469"/>
      <c r="D27" s="368" t="s">
        <v>58</v>
      </c>
      <c r="E27" s="519" t="s">
        <v>64</v>
      </c>
      <c r="F27" s="363"/>
      <c r="G27" s="361"/>
      <c r="H27" s="361"/>
      <c r="I27" s="361"/>
      <c r="J27" s="429" t="s">
        <v>65</v>
      </c>
      <c r="K27" s="411"/>
      <c r="L27" s="582" t="s">
        <v>61</v>
      </c>
      <c r="M27" s="431" t="s">
        <v>66</v>
      </c>
      <c r="N27" s="365"/>
    </row>
    <row r="28" spans="1:14" ht="6" customHeight="1">
      <c r="A28" s="8"/>
      <c r="B28" s="429"/>
      <c r="C28" s="437"/>
      <c r="D28" s="370"/>
      <c r="E28" s="184"/>
      <c r="F28" s="363"/>
      <c r="G28" s="361"/>
      <c r="H28" s="361"/>
      <c r="I28" s="361"/>
      <c r="J28" s="429"/>
      <c r="K28" s="579"/>
      <c r="L28" s="583"/>
      <c r="M28" s="431"/>
      <c r="N28" s="367"/>
    </row>
    <row r="29" spans="1:14" ht="16.5">
      <c r="A29" s="8"/>
      <c r="B29" s="429" t="s">
        <v>71</v>
      </c>
      <c r="C29" s="469"/>
      <c r="D29" s="371" t="s">
        <v>58</v>
      </c>
      <c r="E29" s="519" t="s">
        <v>381</v>
      </c>
      <c r="F29" s="363"/>
      <c r="G29" s="361"/>
      <c r="H29" s="361"/>
      <c r="I29" s="361"/>
      <c r="J29" s="429" t="s">
        <v>69</v>
      </c>
      <c r="K29" s="411"/>
      <c r="L29" s="582" t="s">
        <v>61</v>
      </c>
      <c r="M29" s="431" t="s">
        <v>70</v>
      </c>
      <c r="N29" s="365"/>
    </row>
    <row r="30" spans="1:14" ht="6" customHeight="1">
      <c r="A30" s="8"/>
      <c r="B30" s="429"/>
      <c r="C30" s="437"/>
      <c r="D30" s="519"/>
      <c r="E30" s="519"/>
      <c r="F30" s="363"/>
      <c r="G30" s="361"/>
      <c r="H30" s="361"/>
      <c r="I30" s="361"/>
      <c r="J30" s="429"/>
      <c r="K30" s="579"/>
      <c r="L30" s="583"/>
      <c r="M30" s="431"/>
      <c r="N30" s="367"/>
    </row>
    <row r="31" spans="1:14" ht="16.5">
      <c r="A31" s="8"/>
      <c r="B31" s="429" t="s">
        <v>67</v>
      </c>
      <c r="C31" s="469"/>
      <c r="D31" s="371" t="s">
        <v>58</v>
      </c>
      <c r="E31" s="519" t="s">
        <v>382</v>
      </c>
      <c r="F31" s="363"/>
      <c r="G31" s="361"/>
      <c r="H31" s="361"/>
      <c r="I31" s="361"/>
      <c r="J31" s="429" t="s">
        <v>73</v>
      </c>
      <c r="K31" s="411"/>
      <c r="L31" s="582" t="s">
        <v>58</v>
      </c>
      <c r="M31" s="431" t="s">
        <v>74</v>
      </c>
      <c r="N31" s="365"/>
    </row>
    <row r="32" spans="1:14" ht="7.5" customHeight="1">
      <c r="A32" s="8"/>
      <c r="B32" s="429"/>
      <c r="C32" s="437"/>
      <c r="D32" s="657"/>
      <c r="E32" s="657"/>
      <c r="F32" s="363"/>
      <c r="G32" s="361"/>
      <c r="H32" s="361"/>
      <c r="I32" s="361"/>
      <c r="J32" s="429"/>
      <c r="K32" s="579"/>
      <c r="L32" s="583"/>
      <c r="M32" s="431"/>
      <c r="N32" s="367"/>
    </row>
    <row r="33" spans="1:16" ht="16.5">
      <c r="A33" s="8"/>
      <c r="B33" s="429" t="s">
        <v>75</v>
      </c>
      <c r="C33" s="469"/>
      <c r="D33" s="411" t="s">
        <v>58</v>
      </c>
      <c r="E33" s="579" t="s">
        <v>76</v>
      </c>
      <c r="F33" s="363"/>
      <c r="G33" s="361"/>
      <c r="H33" s="361"/>
      <c r="I33" s="361"/>
      <c r="J33" s="429" t="s">
        <v>77</v>
      </c>
      <c r="K33" s="411"/>
      <c r="L33" s="582" t="s">
        <v>58</v>
      </c>
      <c r="M33" s="431" t="s">
        <v>78</v>
      </c>
      <c r="N33" s="365"/>
    </row>
    <row r="34" spans="1:16" ht="5.25" customHeight="1">
      <c r="A34" s="8"/>
      <c r="B34" s="432"/>
      <c r="C34" s="385"/>
      <c r="D34" s="183"/>
      <c r="E34" s="183"/>
      <c r="F34" s="363"/>
      <c r="G34" s="540"/>
      <c r="H34" s="540"/>
      <c r="I34" s="540"/>
      <c r="J34" s="432"/>
      <c r="K34" s="183"/>
      <c r="L34" s="464"/>
      <c r="M34" s="546"/>
      <c r="N34" s="367"/>
    </row>
    <row r="35" spans="1:16" ht="16.5">
      <c r="A35" s="8"/>
      <c r="B35" s="432" t="s">
        <v>79</v>
      </c>
      <c r="C35" s="385"/>
      <c r="D35" s="530" t="s">
        <v>21</v>
      </c>
      <c r="E35" s="530" t="s">
        <v>80</v>
      </c>
      <c r="F35" s="363"/>
      <c r="G35" s="540"/>
      <c r="H35" s="540"/>
      <c r="I35" s="540"/>
      <c r="J35" s="429" t="s">
        <v>81</v>
      </c>
      <c r="K35" s="411"/>
      <c r="L35" s="582" t="s">
        <v>58</v>
      </c>
      <c r="M35" s="431" t="s">
        <v>368</v>
      </c>
      <c r="N35" s="373"/>
    </row>
    <row r="36" spans="1:16" ht="5.25" customHeight="1">
      <c r="A36" s="8"/>
      <c r="B36" s="149"/>
      <c r="C36" s="117"/>
      <c r="D36" s="374"/>
      <c r="E36" s="361"/>
      <c r="F36" s="375"/>
      <c r="G36" s="117"/>
      <c r="H36" s="117"/>
      <c r="I36" s="361"/>
      <c r="J36" s="369"/>
      <c r="K36" s="357"/>
      <c r="L36" s="357"/>
      <c r="M36" s="361"/>
      <c r="N36" s="361"/>
    </row>
    <row r="37" spans="1:16" ht="14.25" customHeight="1">
      <c r="A37" s="152"/>
      <c r="B37" s="645" t="s">
        <v>83</v>
      </c>
      <c r="C37" s="645"/>
      <c r="D37" s="645"/>
      <c r="E37" s="645"/>
      <c r="F37" s="531" t="s">
        <v>84</v>
      </c>
      <c r="G37" s="532"/>
      <c r="H37" s="385"/>
      <c r="I37" s="385"/>
      <c r="J37" s="645" t="s">
        <v>85</v>
      </c>
      <c r="K37" s="645"/>
      <c r="L37" s="645"/>
      <c r="M37" s="645"/>
      <c r="N37" s="531"/>
      <c r="O37" s="118"/>
      <c r="P37" s="520"/>
    </row>
    <row r="38" spans="1:16" ht="4.5" customHeight="1">
      <c r="A38" s="152"/>
      <c r="B38" s="385"/>
      <c r="C38" s="150"/>
      <c r="D38" s="533"/>
      <c r="E38" s="385"/>
      <c r="F38" s="150"/>
      <c r="G38" s="385"/>
      <c r="H38" s="385"/>
      <c r="I38" s="385"/>
      <c r="J38" s="150"/>
      <c r="K38" s="385"/>
      <c r="L38" s="385"/>
      <c r="M38" s="385"/>
      <c r="N38" s="385"/>
    </row>
    <row r="39" spans="1:16" ht="15" customHeight="1">
      <c r="A39" s="152"/>
      <c r="B39" s="534" t="s">
        <v>86</v>
      </c>
      <c r="C39" s="541"/>
      <c r="D39" s="533" t="s">
        <v>87</v>
      </c>
      <c r="E39" s="532" t="s">
        <v>88</v>
      </c>
      <c r="F39" s="385"/>
      <c r="G39" s="535"/>
      <c r="H39" s="535"/>
      <c r="I39" s="385"/>
      <c r="J39" s="529" t="s">
        <v>89</v>
      </c>
      <c r="K39" s="533"/>
      <c r="L39" s="535" t="s">
        <v>58</v>
      </c>
      <c r="M39" s="532" t="s">
        <v>90</v>
      </c>
      <c r="N39" s="385"/>
      <c r="P39" s="522"/>
    </row>
    <row r="40" spans="1:16" ht="15" customHeight="1">
      <c r="A40" s="152"/>
      <c r="B40" s="534" t="s">
        <v>91</v>
      </c>
      <c r="C40" s="533"/>
      <c r="D40" s="533" t="s">
        <v>87</v>
      </c>
      <c r="E40" s="532" t="s">
        <v>92</v>
      </c>
      <c r="F40" s="385"/>
      <c r="G40" s="535"/>
      <c r="H40" s="535"/>
      <c r="I40" s="385"/>
      <c r="J40" s="529" t="s">
        <v>93</v>
      </c>
      <c r="K40" s="533"/>
      <c r="L40" s="535" t="s">
        <v>58</v>
      </c>
      <c r="M40" s="532" t="s">
        <v>94</v>
      </c>
      <c r="N40" s="150"/>
      <c r="O40" s="115"/>
      <c r="P40" s="522"/>
    </row>
    <row r="41" spans="1:16" ht="15" customHeight="1">
      <c r="A41" s="152"/>
      <c r="B41" s="534" t="s">
        <v>95</v>
      </c>
      <c r="C41" s="541">
        <f>C39-C40</f>
        <v>0</v>
      </c>
      <c r="D41" s="533" t="s">
        <v>87</v>
      </c>
      <c r="E41" s="532" t="s">
        <v>96</v>
      </c>
      <c r="F41" s="385"/>
      <c r="G41" s="535"/>
      <c r="H41" s="535"/>
      <c r="I41" s="385"/>
      <c r="J41" s="529" t="s">
        <v>97</v>
      </c>
      <c r="K41" s="533"/>
      <c r="L41" s="535" t="s">
        <v>58</v>
      </c>
      <c r="M41" s="646" t="s">
        <v>98</v>
      </c>
      <c r="N41" s="646"/>
      <c r="P41" s="522"/>
    </row>
    <row r="42" spans="1:16" ht="15" customHeight="1">
      <c r="A42" s="152"/>
      <c r="B42" s="534" t="s">
        <v>99</v>
      </c>
      <c r="C42" s="533"/>
      <c r="D42" s="533" t="s">
        <v>100</v>
      </c>
      <c r="E42" s="532" t="s">
        <v>101</v>
      </c>
      <c r="F42" s="385"/>
      <c r="G42" s="535"/>
      <c r="H42" s="535"/>
      <c r="I42" s="385"/>
      <c r="J42" s="529" t="s">
        <v>102</v>
      </c>
      <c r="K42" s="533">
        <f>K39-K41-K43</f>
        <v>0</v>
      </c>
      <c r="L42" s="535" t="s">
        <v>58</v>
      </c>
      <c r="M42" s="535" t="s">
        <v>103</v>
      </c>
      <c r="N42" s="535"/>
      <c r="O42" s="522"/>
      <c r="P42" s="522"/>
    </row>
    <row r="43" spans="1:16" ht="15" customHeight="1">
      <c r="A43" s="152"/>
      <c r="B43" s="534" t="s">
        <v>104</v>
      </c>
      <c r="C43" s="533"/>
      <c r="D43" s="533" t="s">
        <v>100</v>
      </c>
      <c r="E43" s="532" t="s">
        <v>101</v>
      </c>
      <c r="F43" s="385"/>
      <c r="G43" s="535"/>
      <c r="H43" s="535"/>
      <c r="I43" s="385"/>
      <c r="J43" s="529" t="s">
        <v>105</v>
      </c>
      <c r="K43" s="533">
        <f>K40/5</f>
        <v>0</v>
      </c>
      <c r="L43" s="535" t="s">
        <v>58</v>
      </c>
      <c r="M43" s="646" t="s">
        <v>106</v>
      </c>
      <c r="N43" s="646"/>
    </row>
    <row r="44" spans="1:16" ht="15" customHeight="1">
      <c r="A44" s="102"/>
      <c r="B44" s="534" t="s">
        <v>107</v>
      </c>
      <c r="C44" s="533"/>
      <c r="D44" s="533" t="s">
        <v>108</v>
      </c>
      <c r="E44" s="532" t="s">
        <v>109</v>
      </c>
      <c r="F44" s="385"/>
      <c r="G44" s="535"/>
      <c r="H44" s="535"/>
      <c r="I44" s="385"/>
      <c r="J44" s="385"/>
      <c r="K44" s="385"/>
      <c r="L44" s="385"/>
      <c r="M44" s="385"/>
      <c r="N44" s="385"/>
      <c r="O44" s="522"/>
      <c r="P44" s="522"/>
    </row>
    <row r="45" spans="1:16">
      <c r="A45" s="8"/>
      <c r="B45" s="542"/>
      <c r="C45" s="542"/>
      <c r="D45" s="542"/>
      <c r="E45" s="542"/>
      <c r="F45" s="542"/>
      <c r="G45" s="120"/>
      <c r="H45" s="120"/>
      <c r="I45" s="542"/>
      <c r="J45" s="542"/>
      <c r="K45" s="542"/>
      <c r="L45" s="542"/>
      <c r="M45" s="542"/>
      <c r="N45" s="542"/>
    </row>
    <row r="46" spans="1:16">
      <c r="A46" s="8"/>
      <c r="B46" s="542"/>
      <c r="C46" s="542"/>
      <c r="D46" s="542"/>
      <c r="E46" s="542"/>
      <c r="F46" s="542"/>
      <c r="G46" s="120"/>
      <c r="H46" s="120"/>
      <c r="I46" s="542"/>
      <c r="J46" s="542"/>
      <c r="K46" s="542"/>
      <c r="L46" s="542"/>
      <c r="M46" s="542"/>
      <c r="N46" s="542"/>
    </row>
    <row r="47" spans="1:16">
      <c r="A47" s="8"/>
      <c r="B47" s="536"/>
      <c r="C47" s="647" t="s">
        <v>110</v>
      </c>
      <c r="D47" s="648"/>
      <c r="E47" s="648"/>
      <c r="F47" s="648"/>
      <c r="G47" s="120"/>
      <c r="H47" s="120"/>
      <c r="I47" s="542"/>
      <c r="J47" s="537"/>
      <c r="K47" s="537"/>
      <c r="L47" s="537"/>
      <c r="M47" s="537"/>
      <c r="N47" s="542"/>
    </row>
    <row r="48" spans="1:16" ht="15.75" customHeight="1">
      <c r="A48" s="8"/>
      <c r="B48" s="536"/>
      <c r="C48" s="538"/>
      <c r="D48" s="539"/>
      <c r="E48" s="539"/>
      <c r="F48" s="183" t="s">
        <v>111</v>
      </c>
      <c r="G48" s="543"/>
      <c r="H48" s="543"/>
      <c r="I48" s="540"/>
      <c r="J48" s="540"/>
      <c r="K48" s="385"/>
      <c r="L48" s="540"/>
      <c r="M48" s="540"/>
      <c r="N48" s="540"/>
      <c r="O48" s="522"/>
      <c r="P48" s="522"/>
    </row>
    <row r="49" spans="1:16" ht="15.75" customHeight="1">
      <c r="A49" s="8"/>
      <c r="B49" s="649" t="s">
        <v>112</v>
      </c>
      <c r="C49" s="649"/>
      <c r="D49" s="544"/>
      <c r="E49" s="545" t="s">
        <v>113</v>
      </c>
      <c r="F49" s="120"/>
      <c r="G49" s="543"/>
      <c r="H49" s="543"/>
      <c r="I49" s="540"/>
      <c r="J49" s="540"/>
      <c r="K49" s="385"/>
      <c r="L49" s="540"/>
      <c r="M49" s="540"/>
      <c r="N49" s="540"/>
      <c r="O49" s="522"/>
      <c r="P49" s="522"/>
    </row>
    <row r="50" spans="1:16">
      <c r="A50" s="8"/>
      <c r="B50" s="650" t="s">
        <v>114</v>
      </c>
      <c r="C50" s="651"/>
      <c r="D50" s="652"/>
      <c r="E50" s="153"/>
      <c r="F50" s="154"/>
      <c r="G50" s="152"/>
      <c r="H50" s="152"/>
      <c r="I50" s="26"/>
      <c r="J50" s="26"/>
      <c r="K50" s="102"/>
      <c r="L50" s="103"/>
      <c r="M50" s="103"/>
      <c r="N50" s="103"/>
    </row>
    <row r="51" spans="1:16" ht="14.25" customHeight="1">
      <c r="B51" s="650" t="s">
        <v>115</v>
      </c>
      <c r="C51" s="651"/>
      <c r="D51" s="652"/>
      <c r="E51" s="153"/>
      <c r="F51" s="154"/>
      <c r="G51" s="152"/>
      <c r="H51" s="152"/>
      <c r="I51" s="26"/>
      <c r="J51" s="26"/>
      <c r="K51" s="155"/>
      <c r="L51" s="155"/>
      <c r="M51" s="155"/>
      <c r="N51" s="155"/>
    </row>
    <row r="52" spans="1:16" ht="9" hidden="1" customHeight="1">
      <c r="A52" s="8"/>
      <c r="B52" s="117"/>
      <c r="C52" s="369"/>
      <c r="D52" s="357"/>
      <c r="E52" s="117"/>
      <c r="F52" s="369"/>
      <c r="G52" s="117"/>
      <c r="H52" s="117"/>
      <c r="I52" s="26"/>
      <c r="J52" s="26"/>
      <c r="K52" s="26"/>
      <c r="L52" s="26"/>
      <c r="M52" s="26"/>
      <c r="N52" s="26"/>
    </row>
    <row r="53" spans="1:16">
      <c r="A53" s="8"/>
      <c r="B53" s="152"/>
      <c r="C53" s="152"/>
      <c r="D53" s="384"/>
      <c r="E53" s="384"/>
      <c r="F53" s="384"/>
      <c r="G53" s="384"/>
      <c r="H53" s="384"/>
      <c r="I53" s="384"/>
      <c r="J53" s="384"/>
      <c r="K53" s="384"/>
      <c r="L53" s="384"/>
      <c r="M53" s="26"/>
      <c r="N53" s="26"/>
    </row>
    <row r="54" spans="1:16">
      <c r="A54" s="8"/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  <c r="M54" s="26"/>
      <c r="N54" s="26"/>
    </row>
    <row r="55" spans="1:16">
      <c r="A55" s="8"/>
      <c r="B55" s="152"/>
      <c r="C55" s="152"/>
      <c r="D55" s="384"/>
      <c r="E55" s="384"/>
      <c r="F55" s="384"/>
      <c r="G55" s="384"/>
      <c r="H55" s="384"/>
      <c r="I55" s="384"/>
      <c r="J55" s="384"/>
      <c r="K55" s="384"/>
      <c r="L55" s="384"/>
      <c r="M55" s="26"/>
      <c r="N55" s="26"/>
    </row>
    <row r="56" spans="1:16">
      <c r="A56" s="8"/>
      <c r="B56" s="152"/>
      <c r="C56" s="385"/>
      <c r="D56" s="384"/>
      <c r="E56" s="384"/>
      <c r="F56" s="384"/>
      <c r="G56" s="384"/>
      <c r="H56" s="384"/>
      <c r="I56" s="384"/>
      <c r="J56" s="384"/>
      <c r="K56" s="384"/>
      <c r="L56" s="384"/>
      <c r="M56" s="26"/>
      <c r="N56" s="26"/>
    </row>
    <row r="57" spans="1:16" ht="15" customHeight="1">
      <c r="A57" s="8"/>
      <c r="B57" s="117"/>
      <c r="C57" s="369"/>
      <c r="D57" s="357"/>
      <c r="E57" s="117"/>
      <c r="F57" s="369"/>
      <c r="G57" s="117"/>
      <c r="H57" s="117"/>
      <c r="I57" s="26"/>
      <c r="J57" s="26"/>
      <c r="K57" s="26"/>
      <c r="L57" s="26"/>
      <c r="M57" s="26"/>
      <c r="N57" s="26"/>
    </row>
    <row r="58" spans="1:16" ht="15" customHeight="1">
      <c r="A58" s="8"/>
      <c r="B58" s="117"/>
      <c r="C58" s="369"/>
      <c r="D58" s="357"/>
      <c r="E58" s="117"/>
      <c r="F58" s="369"/>
      <c r="G58" s="117"/>
      <c r="H58" s="117"/>
      <c r="I58" s="26"/>
      <c r="J58" s="26"/>
      <c r="K58" s="26"/>
      <c r="L58" s="26"/>
      <c r="M58" s="26"/>
      <c r="N58" s="26"/>
    </row>
    <row r="59" spans="1:16" ht="15" customHeight="1">
      <c r="A59" s="8"/>
      <c r="B59" s="117"/>
      <c r="C59" s="369"/>
      <c r="D59" s="357"/>
      <c r="E59" s="117"/>
      <c r="F59" s="369"/>
      <c r="G59" s="117"/>
      <c r="H59" s="117"/>
      <c r="I59" s="26"/>
      <c r="J59" s="26"/>
      <c r="K59" s="26"/>
      <c r="L59" s="26"/>
      <c r="M59" s="26"/>
      <c r="N59" s="26"/>
    </row>
    <row r="60" spans="1:16" ht="15" customHeight="1">
      <c r="A60" s="8"/>
      <c r="B60" s="117"/>
      <c r="C60" s="369"/>
      <c r="D60" s="357"/>
      <c r="E60" s="117"/>
      <c r="F60" s="369"/>
      <c r="G60" s="117"/>
      <c r="H60" s="117"/>
      <c r="I60" s="26"/>
      <c r="J60" s="26"/>
      <c r="K60" s="26"/>
      <c r="L60" s="26"/>
      <c r="M60" s="26"/>
      <c r="N60" s="26"/>
    </row>
    <row r="61" spans="1:16" ht="15" customHeight="1">
      <c r="A61" s="8"/>
      <c r="B61" s="117"/>
      <c r="C61" s="369"/>
      <c r="D61" s="357"/>
      <c r="E61" s="117"/>
      <c r="F61" s="369"/>
      <c r="G61" s="117"/>
      <c r="H61" s="117"/>
      <c r="I61" s="26"/>
      <c r="J61" s="26"/>
      <c r="K61" s="26"/>
      <c r="L61" s="26"/>
      <c r="M61" s="26"/>
      <c r="N61" s="26"/>
    </row>
    <row r="62" spans="1:16">
      <c r="A62" s="8"/>
      <c r="B62" s="653" t="s">
        <v>0</v>
      </c>
      <c r="C62" s="653"/>
      <c r="D62" s="653"/>
      <c r="E62" s="653"/>
      <c r="F62" s="653"/>
      <c r="G62" s="111"/>
      <c r="H62" s="111"/>
    </row>
    <row r="63" spans="1:16" ht="11.25" customHeight="1">
      <c r="A63" s="8"/>
      <c r="B63" s="524"/>
      <c r="C63" s="524"/>
      <c r="D63" s="524"/>
      <c r="E63" s="524"/>
      <c r="F63" s="524"/>
      <c r="G63" s="111"/>
      <c r="H63" s="111"/>
    </row>
    <row r="64" spans="1:16">
      <c r="A64" s="8"/>
      <c r="B64" s="130" t="s">
        <v>116</v>
      </c>
      <c r="C64" s="654"/>
      <c r="D64" s="654"/>
      <c r="E64" s="654"/>
      <c r="F64" s="130" t="s">
        <v>336</v>
      </c>
      <c r="G64" s="131"/>
      <c r="H64" s="111"/>
      <c r="J64" s="6" t="s">
        <v>2</v>
      </c>
      <c r="K64" s="655">
        <f ca="1">NOW()</f>
        <v>46278.258565972224</v>
      </c>
      <c r="L64" s="656"/>
      <c r="M64" s="48"/>
    </row>
    <row r="65" spans="1:12">
      <c r="A65" s="8"/>
      <c r="B65" s="130" t="s">
        <v>118</v>
      </c>
      <c r="C65" s="644" t="s">
        <v>4</v>
      </c>
      <c r="D65" s="644"/>
      <c r="E65" s="644"/>
      <c r="F65" s="130" t="s">
        <v>322</v>
      </c>
      <c r="G65" s="131"/>
      <c r="H65" s="111"/>
    </row>
    <row r="66" spans="1:12" ht="8.25" customHeight="1">
      <c r="A66" s="8"/>
      <c r="B66" s="10"/>
      <c r="C66" s="147"/>
      <c r="D66" s="518"/>
      <c r="E66" s="10"/>
      <c r="F66" s="147"/>
      <c r="G66" s="10"/>
      <c r="H66" s="10"/>
    </row>
    <row r="67" spans="1:12">
      <c r="A67" s="8"/>
      <c r="B67" s="205"/>
      <c r="C67" s="635" t="s">
        <v>126</v>
      </c>
      <c r="D67" s="635"/>
      <c r="E67" s="635"/>
      <c r="F67" s="635"/>
      <c r="G67" s="205"/>
      <c r="H67" s="205"/>
      <c r="I67" s="5"/>
      <c r="J67" s="5"/>
      <c r="K67" s="5"/>
      <c r="L67" s="5"/>
    </row>
    <row r="68" spans="1:12" ht="5.25" customHeight="1">
      <c r="A68" s="8"/>
      <c r="B68" s="205"/>
      <c r="C68" s="130"/>
      <c r="D68" s="130"/>
      <c r="E68" s="130"/>
      <c r="F68" s="130"/>
      <c r="G68" s="205"/>
      <c r="H68" s="205"/>
      <c r="I68" s="5"/>
      <c r="J68" s="5"/>
      <c r="K68" s="5"/>
      <c r="L68" s="5"/>
    </row>
    <row r="69" spans="1:12">
      <c r="A69" s="8"/>
      <c r="B69" s="206" t="s">
        <v>127</v>
      </c>
      <c r="C69" s="130"/>
      <c r="D69" s="130"/>
      <c r="E69" s="130"/>
      <c r="F69" s="130"/>
      <c r="G69" s="205"/>
      <c r="H69" s="205"/>
      <c r="I69" s="5"/>
      <c r="J69" s="5"/>
      <c r="K69" s="5"/>
      <c r="L69" s="5"/>
    </row>
    <row r="70" spans="1:12">
      <c r="A70" s="8"/>
      <c r="B70" s="207" t="s">
        <v>128</v>
      </c>
      <c r="C70" s="347"/>
      <c r="D70" s="130"/>
      <c r="E70" s="130" t="s">
        <v>130</v>
      </c>
      <c r="F70" s="193"/>
      <c r="G70" s="205"/>
      <c r="H70" s="205"/>
      <c r="I70" s="5"/>
      <c r="J70" s="5"/>
      <c r="K70" s="5"/>
      <c r="L70" s="5"/>
    </row>
    <row r="71" spans="1:12" ht="18.75" customHeight="1">
      <c r="A71" s="8"/>
      <c r="B71" s="207" t="s">
        <v>131</v>
      </c>
      <c r="C71" s="347"/>
      <c r="D71" s="207"/>
      <c r="E71" s="207" t="s">
        <v>133</v>
      </c>
      <c r="F71" s="347"/>
      <c r="G71" s="130"/>
      <c r="H71" s="205"/>
      <c r="I71" s="5"/>
      <c r="J71" s="5"/>
      <c r="K71" s="5"/>
      <c r="L71" s="5"/>
    </row>
    <row r="72" spans="1:12">
      <c r="A72" s="8"/>
      <c r="B72" s="207" t="s">
        <v>135</v>
      </c>
      <c r="C72" s="347"/>
      <c r="D72" s="207"/>
      <c r="E72" s="207" t="s">
        <v>137</v>
      </c>
      <c r="F72" s="347"/>
      <c r="G72" s="211"/>
      <c r="H72" s="205"/>
      <c r="I72" s="5"/>
      <c r="J72" s="5"/>
      <c r="K72" s="5"/>
      <c r="L72" s="5"/>
    </row>
    <row r="73" spans="1:12">
      <c r="A73" s="8"/>
      <c r="B73" s="207" t="s">
        <v>139</v>
      </c>
      <c r="C73" s="347"/>
      <c r="D73" s="207"/>
      <c r="E73" s="212"/>
      <c r="F73" s="207"/>
      <c r="G73" s="205"/>
      <c r="H73" s="205"/>
      <c r="I73" s="5"/>
      <c r="J73" s="5"/>
      <c r="K73" s="5"/>
      <c r="L73" s="5"/>
    </row>
    <row r="74" spans="1:12" ht="9" customHeight="1">
      <c r="A74" s="8"/>
      <c r="B74" s="207"/>
      <c r="C74" s="207"/>
      <c r="D74" s="207"/>
      <c r="E74" s="212"/>
      <c r="F74" s="207"/>
      <c r="G74" s="205"/>
      <c r="H74" s="205"/>
      <c r="I74" s="5"/>
      <c r="J74" s="5"/>
      <c r="K74" s="5"/>
      <c r="L74" s="5"/>
    </row>
    <row r="75" spans="1:12">
      <c r="A75" s="8"/>
      <c r="B75" s="213" t="s">
        <v>141</v>
      </c>
      <c r="C75" s="130"/>
      <c r="D75" s="130"/>
      <c r="E75" s="130"/>
      <c r="F75" s="130"/>
      <c r="G75" s="205"/>
      <c r="H75" s="205"/>
      <c r="I75" s="5"/>
      <c r="J75" s="5"/>
      <c r="K75" s="5"/>
      <c r="L75" s="5"/>
    </row>
    <row r="76" spans="1:12">
      <c r="A76" s="8"/>
      <c r="B76" s="130" t="s">
        <v>142</v>
      </c>
      <c r="C76" s="347" t="s">
        <v>143</v>
      </c>
      <c r="D76" s="130"/>
      <c r="E76" s="130" t="s">
        <v>144</v>
      </c>
      <c r="F76" s="525"/>
      <c r="G76" s="636" t="s">
        <v>143</v>
      </c>
      <c r="H76" s="637"/>
      <c r="I76" s="637"/>
      <c r="J76" s="638"/>
      <c r="K76" s="5"/>
      <c r="L76" s="5"/>
    </row>
    <row r="77" spans="1:12">
      <c r="A77" s="8"/>
      <c r="B77" s="214" t="s">
        <v>145</v>
      </c>
      <c r="C77" s="347" t="s">
        <v>143</v>
      </c>
      <c r="D77" s="215"/>
      <c r="E77" s="216" t="s">
        <v>146</v>
      </c>
      <c r="F77" s="130"/>
      <c r="G77" s="636" t="s">
        <v>147</v>
      </c>
      <c r="H77" s="637"/>
      <c r="I77" s="637"/>
      <c r="J77" s="638"/>
      <c r="K77" s="5"/>
      <c r="L77" s="5"/>
    </row>
    <row r="78" spans="1:12">
      <c r="A78" s="8"/>
      <c r="B78" s="214" t="s">
        <v>148</v>
      </c>
      <c r="C78" s="347" t="s">
        <v>143</v>
      </c>
      <c r="D78" s="216"/>
      <c r="E78" s="216" t="s">
        <v>149</v>
      </c>
      <c r="F78" s="217"/>
      <c r="G78" s="636" t="s">
        <v>143</v>
      </c>
      <c r="H78" s="637"/>
      <c r="I78" s="637"/>
      <c r="J78" s="638"/>
      <c r="K78" s="5"/>
      <c r="L78" s="5"/>
    </row>
    <row r="79" spans="1:12">
      <c r="A79" s="8"/>
      <c r="B79" s="639" t="s">
        <v>150</v>
      </c>
      <c r="C79" s="639"/>
      <c r="D79" s="640"/>
      <c r="E79" s="12"/>
      <c r="F79" s="215"/>
      <c r="G79" s="205"/>
      <c r="H79" s="205"/>
      <c r="I79" s="5"/>
      <c r="J79" s="5"/>
      <c r="K79" s="5"/>
      <c r="L79" s="5"/>
    </row>
    <row r="80" spans="1:12">
      <c r="A80" s="8"/>
      <c r="B80" s="214" t="s">
        <v>151</v>
      </c>
      <c r="C80" s="411" t="s">
        <v>143</v>
      </c>
      <c r="D80" s="216"/>
      <c r="E80" s="216"/>
      <c r="F80" s="216"/>
      <c r="G80" s="205"/>
      <c r="H80" s="205"/>
      <c r="I80" s="5"/>
      <c r="J80" s="5"/>
      <c r="K80" s="5"/>
      <c r="L80" s="5"/>
    </row>
    <row r="81" spans="1:12" ht="18.75" customHeight="1">
      <c r="A81" s="8"/>
      <c r="B81" s="213" t="s">
        <v>152</v>
      </c>
      <c r="C81" s="219"/>
      <c r="D81" s="219"/>
      <c r="E81" s="219"/>
      <c r="F81" s="219"/>
      <c r="G81" s="205"/>
      <c r="H81" s="205"/>
      <c r="I81" s="5"/>
      <c r="J81" s="5"/>
      <c r="K81" s="5"/>
      <c r="L81" s="5"/>
    </row>
    <row r="82" spans="1:12">
      <c r="A82" s="8"/>
      <c r="B82" s="216" t="s">
        <v>153</v>
      </c>
      <c r="C82" s="411"/>
      <c r="D82" s="214"/>
      <c r="E82" s="214" t="s">
        <v>155</v>
      </c>
      <c r="F82" s="411" t="s">
        <v>154</v>
      </c>
      <c r="G82" s="205"/>
      <c r="H82" s="205"/>
      <c r="I82" s="5"/>
      <c r="J82" s="5"/>
      <c r="K82" s="5"/>
      <c r="L82" s="5"/>
    </row>
    <row r="83" spans="1:12">
      <c r="A83" s="8"/>
      <c r="B83" s="216" t="s">
        <v>156</v>
      </c>
      <c r="C83" s="411"/>
      <c r="D83" s="216"/>
      <c r="E83" s="216" t="s">
        <v>158</v>
      </c>
      <c r="F83" s="411" t="s">
        <v>159</v>
      </c>
      <c r="G83" s="205"/>
      <c r="H83" s="205"/>
      <c r="I83" s="5"/>
      <c r="J83" s="5"/>
      <c r="K83" s="5"/>
      <c r="L83" s="5"/>
    </row>
    <row r="84" spans="1:12">
      <c r="A84" s="8"/>
      <c r="B84" s="216" t="s">
        <v>160</v>
      </c>
      <c r="C84" s="411"/>
      <c r="D84" s="216"/>
      <c r="E84" s="216" t="s">
        <v>162</v>
      </c>
      <c r="F84" s="411" t="s">
        <v>154</v>
      </c>
      <c r="G84" s="205"/>
      <c r="H84" s="205"/>
      <c r="I84" s="5"/>
      <c r="J84" s="5"/>
      <c r="K84" s="5"/>
      <c r="L84" s="5"/>
    </row>
    <row r="85" spans="1:12">
      <c r="A85" s="8"/>
      <c r="B85" s="205"/>
      <c r="C85" s="393"/>
      <c r="D85" s="393"/>
      <c r="E85" s="393"/>
      <c r="F85" s="393"/>
      <c r="G85" s="205"/>
      <c r="H85" s="205"/>
      <c r="I85" s="5"/>
      <c r="J85" s="5"/>
      <c r="K85" s="5"/>
      <c r="L85" s="5"/>
    </row>
    <row r="86" spans="1:12">
      <c r="A86" s="8"/>
      <c r="B86" s="214" t="s">
        <v>163</v>
      </c>
      <c r="C86" s="641" t="s">
        <v>367</v>
      </c>
      <c r="D86" s="642"/>
      <c r="E86" s="642"/>
      <c r="F86" s="643"/>
      <c r="G86" s="205"/>
      <c r="H86" s="205"/>
      <c r="I86" s="5"/>
      <c r="J86" s="5"/>
      <c r="K86" s="5"/>
      <c r="L86" s="5"/>
    </row>
    <row r="87" spans="1:12" ht="15" customHeight="1">
      <c r="A87" s="8"/>
      <c r="B87" s="203"/>
      <c r="C87" s="203"/>
      <c r="D87" s="203"/>
      <c r="E87" s="203"/>
      <c r="F87" s="203"/>
      <c r="G87" s="205"/>
      <c r="H87" s="205"/>
      <c r="I87" s="5"/>
      <c r="J87" s="5"/>
      <c r="K87" s="5"/>
      <c r="L87" s="5"/>
    </row>
    <row r="88" spans="1:12" ht="18" customHeight="1">
      <c r="B88" s="202"/>
      <c r="C88" s="202"/>
      <c r="D88" s="202"/>
      <c r="E88" s="202"/>
      <c r="F88" s="202"/>
      <c r="G88" s="202"/>
      <c r="H88" s="202"/>
      <c r="I88" s="202"/>
      <c r="J88" s="632"/>
      <c r="K88" s="632"/>
      <c r="L88" s="632"/>
    </row>
    <row r="89" spans="1:12" ht="18" customHeight="1">
      <c r="B89" s="188"/>
      <c r="C89" s="394" t="s">
        <v>166</v>
      </c>
      <c r="D89" s="395"/>
      <c r="E89" s="396"/>
      <c r="F89" s="12"/>
      <c r="G89" s="12"/>
      <c r="H89" s="519"/>
      <c r="I89" s="519"/>
      <c r="J89" s="632"/>
      <c r="K89" s="632"/>
      <c r="L89" s="632"/>
    </row>
    <row r="90" spans="1:12" ht="18" customHeight="1">
      <c r="B90" s="397"/>
      <c r="C90" s="398" t="s">
        <v>167</v>
      </c>
      <c r="D90" s="399"/>
      <c r="E90" s="12"/>
      <c r="F90" s="12"/>
      <c r="G90" s="12"/>
      <c r="H90" s="519"/>
      <c r="I90" s="519"/>
      <c r="J90" s="519"/>
      <c r="K90" s="5"/>
      <c r="L90" s="5"/>
    </row>
    <row r="91" spans="1:12" ht="18" customHeight="1">
      <c r="B91" s="518"/>
      <c r="C91" s="518"/>
      <c r="D91" s="518"/>
      <c r="E91" s="518"/>
      <c r="F91" s="518"/>
      <c r="G91" s="518"/>
      <c r="H91" s="518"/>
      <c r="I91" s="518"/>
      <c r="J91" s="518"/>
    </row>
    <row r="92" spans="1:12" ht="18" customHeight="1">
      <c r="B92" s="518"/>
      <c r="C92" s="518"/>
      <c r="D92" s="518"/>
      <c r="E92" s="518"/>
      <c r="F92" s="518"/>
      <c r="G92" s="518"/>
      <c r="H92" s="518"/>
      <c r="I92" s="518"/>
      <c r="J92" s="518"/>
    </row>
    <row r="93" spans="1:12" ht="18" customHeight="1">
      <c r="B93" s="518"/>
      <c r="C93" s="518"/>
      <c r="D93" s="518"/>
      <c r="E93" s="518"/>
      <c r="F93" s="518"/>
      <c r="G93" s="518"/>
      <c r="H93" s="518"/>
      <c r="I93" s="518"/>
      <c r="J93" s="518"/>
    </row>
    <row r="94" spans="1:12" ht="18" customHeight="1">
      <c r="B94" s="518"/>
      <c r="C94" s="518"/>
      <c r="D94" s="518"/>
      <c r="E94" s="518"/>
      <c r="F94" s="518"/>
      <c r="G94" s="518"/>
      <c r="H94" s="518"/>
      <c r="I94" s="518"/>
      <c r="J94" s="518"/>
    </row>
    <row r="95" spans="1:12" ht="18" customHeight="1">
      <c r="B95" s="518"/>
      <c r="C95" s="518"/>
      <c r="D95" s="518"/>
      <c r="E95" s="518"/>
      <c r="F95" s="518"/>
      <c r="G95" s="518"/>
      <c r="H95" s="518"/>
      <c r="I95" s="518"/>
      <c r="J95" s="518"/>
    </row>
    <row r="96" spans="1:12" ht="18" customHeight="1">
      <c r="B96" s="518"/>
      <c r="C96" s="518"/>
      <c r="D96" s="518"/>
      <c r="E96" s="518"/>
      <c r="F96" s="518"/>
      <c r="G96" s="518"/>
      <c r="H96" s="518"/>
      <c r="I96" s="518"/>
      <c r="J96" s="518"/>
    </row>
    <row r="97" spans="1:12">
      <c r="A97" s="8"/>
      <c r="B97" s="633"/>
      <c r="C97" s="633"/>
      <c r="D97" s="134"/>
      <c r="E97" s="134"/>
      <c r="F97" s="134"/>
      <c r="G97" s="111"/>
      <c r="H97" s="111"/>
    </row>
    <row r="98" spans="1:12">
      <c r="A98" s="8"/>
      <c r="B98" s="10"/>
      <c r="C98" s="10"/>
      <c r="D98" s="518"/>
      <c r="E98" s="518"/>
      <c r="F98" s="518"/>
      <c r="G98" s="518"/>
      <c r="H98" s="518"/>
      <c r="I98" s="518"/>
      <c r="J98" s="518"/>
    </row>
    <row r="99" spans="1:12">
      <c r="A99" s="8"/>
      <c r="B99" s="10"/>
      <c r="C99" s="10"/>
      <c r="D99" s="518"/>
      <c r="E99" s="518"/>
      <c r="F99" s="518"/>
      <c r="G99" s="518"/>
      <c r="H99" s="518"/>
      <c r="I99" s="518"/>
      <c r="J99" s="518"/>
    </row>
    <row r="100" spans="1:12">
      <c r="A100" s="8"/>
      <c r="B100" s="111"/>
      <c r="C100" s="111"/>
      <c r="D100" s="132"/>
      <c r="E100" s="132"/>
      <c r="F100" s="526"/>
      <c r="G100" s="526"/>
      <c r="H100" s="526"/>
      <c r="I100" s="526"/>
      <c r="J100" s="526"/>
      <c r="K100" s="526"/>
      <c r="L100" s="526"/>
    </row>
    <row r="101" spans="1:12">
      <c r="A101" s="8"/>
      <c r="B101" s="132"/>
      <c r="C101" s="132"/>
      <c r="D101" s="132"/>
      <c r="E101" s="132"/>
      <c r="F101" s="526"/>
      <c r="G101" s="526"/>
      <c r="H101" s="526"/>
      <c r="I101" s="526"/>
      <c r="J101" s="526"/>
      <c r="K101" s="526"/>
      <c r="L101" s="526"/>
    </row>
    <row r="102" spans="1:12">
      <c r="A102" s="8"/>
      <c r="B102" s="111"/>
      <c r="C102" s="111"/>
      <c r="D102" s="132"/>
      <c r="E102" s="132"/>
      <c r="F102" s="526"/>
      <c r="G102" s="526"/>
      <c r="H102" s="526"/>
      <c r="I102" s="526"/>
      <c r="J102" s="526"/>
      <c r="K102" s="526"/>
      <c r="L102" s="526"/>
    </row>
    <row r="103" spans="1:12">
      <c r="A103" s="8"/>
      <c r="B103" s="111"/>
      <c r="C103" s="120"/>
      <c r="D103" s="132"/>
      <c r="E103" s="132"/>
      <c r="F103" s="526"/>
      <c r="G103" s="526"/>
      <c r="H103" s="526"/>
      <c r="I103" s="526"/>
    </row>
    <row r="104" spans="1:12">
      <c r="A104" s="8"/>
      <c r="B104" s="111"/>
      <c r="C104" s="120"/>
      <c r="D104" s="120"/>
      <c r="E104" s="120"/>
      <c r="F104" s="120"/>
      <c r="G104" s="120"/>
      <c r="H104" s="111"/>
    </row>
    <row r="105" spans="1:12">
      <c r="A105" s="8"/>
      <c r="B105" s="61"/>
      <c r="C105" s="61"/>
      <c r="D105" s="61"/>
      <c r="E105" s="61"/>
      <c r="F105" s="61"/>
      <c r="G105" s="111"/>
      <c r="H105" s="111"/>
    </row>
    <row r="106" spans="1:12">
      <c r="A106" s="8"/>
      <c r="B106" s="61"/>
      <c r="C106" s="61"/>
      <c r="D106" s="61"/>
      <c r="E106" s="61"/>
      <c r="F106" s="61"/>
      <c r="G106" s="111"/>
      <c r="H106" s="111"/>
    </row>
    <row r="107" spans="1:12">
      <c r="B107" s="61"/>
      <c r="C107" s="61"/>
      <c r="D107" s="61"/>
      <c r="E107" s="61"/>
      <c r="F107" s="61"/>
      <c r="G107" s="111"/>
      <c r="H107" s="111"/>
    </row>
    <row r="108" spans="1:12">
      <c r="B108" s="139"/>
      <c r="C108" s="139"/>
      <c r="D108" s="139"/>
      <c r="E108" s="139"/>
      <c r="F108" s="139"/>
    </row>
    <row r="109" spans="1:12">
      <c r="B109" s="139"/>
      <c r="C109" s="139"/>
      <c r="D109" s="139"/>
      <c r="E109" s="139"/>
      <c r="F109" s="139"/>
    </row>
    <row r="114" spans="2:6">
      <c r="B114" s="634"/>
      <c r="C114" s="634"/>
      <c r="D114" s="634"/>
      <c r="E114" s="634"/>
      <c r="F114" s="634"/>
    </row>
  </sheetData>
  <mergeCells count="41">
    <mergeCell ref="B7:F7"/>
    <mergeCell ref="J7:L7"/>
    <mergeCell ref="E2:G2"/>
    <mergeCell ref="B3:L3"/>
    <mergeCell ref="C4:E4"/>
    <mergeCell ref="K4:M4"/>
    <mergeCell ref="C5:D5"/>
    <mergeCell ref="D32:E32"/>
    <mergeCell ref="E8:F8"/>
    <mergeCell ref="L8:M8"/>
    <mergeCell ref="E15:F15"/>
    <mergeCell ref="J15:L15"/>
    <mergeCell ref="E16:F16"/>
    <mergeCell ref="K16:L16"/>
    <mergeCell ref="K17:L17"/>
    <mergeCell ref="J18:L18"/>
    <mergeCell ref="K21:L21"/>
    <mergeCell ref="B23:E23"/>
    <mergeCell ref="G23:L23"/>
    <mergeCell ref="K20:L20"/>
    <mergeCell ref="C65:E65"/>
    <mergeCell ref="B37:E37"/>
    <mergeCell ref="J37:M37"/>
    <mergeCell ref="M41:N41"/>
    <mergeCell ref="M43:N43"/>
    <mergeCell ref="C47:F47"/>
    <mergeCell ref="B49:C49"/>
    <mergeCell ref="B50:D50"/>
    <mergeCell ref="B51:D51"/>
    <mergeCell ref="B62:F62"/>
    <mergeCell ref="C64:E64"/>
    <mergeCell ref="K64:L64"/>
    <mergeCell ref="J88:L89"/>
    <mergeCell ref="B97:C97"/>
    <mergeCell ref="B114:F114"/>
    <mergeCell ref="C67:F67"/>
    <mergeCell ref="G76:J76"/>
    <mergeCell ref="G77:J77"/>
    <mergeCell ref="G78:J78"/>
    <mergeCell ref="B79:D79"/>
    <mergeCell ref="C86:F86"/>
  </mergeCells>
  <pageMargins left="0" right="0" top="0.74803149606299202" bottom="0" header="0.31496062992126" footer="0.31496062992126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0665-884E-47A8-8E82-0D0089CA652D}">
  <dimension ref="A2:P113"/>
  <sheetViews>
    <sheetView showWhiteSpace="0" view="pageLayout" topLeftCell="A25" zoomScale="106" zoomScaleNormal="100" zoomScalePageLayoutView="106" workbookViewId="0">
      <selection activeCell="B52" sqref="B52:E53"/>
    </sheetView>
  </sheetViews>
  <sheetFormatPr baseColWidth="10" defaultColWidth="11" defaultRowHeight="15"/>
  <cols>
    <col min="1" max="1" width="5.7109375" customWidth="1"/>
    <col min="2" max="2" width="14.5703125" customWidth="1"/>
    <col min="3" max="3" width="9.85546875" customWidth="1"/>
    <col min="4" max="4" width="10.28515625" customWidth="1"/>
    <col min="5" max="5" width="11.7109375" customWidth="1"/>
    <col min="6" max="6" width="13.5703125" customWidth="1"/>
    <col min="7" max="7" width="1.140625" customWidth="1"/>
    <col min="8" max="8" width="0.28515625" hidden="1" customWidth="1"/>
    <col min="9" max="9" width="4.7109375" hidden="1" customWidth="1"/>
    <col min="10" max="10" width="11.140625" customWidth="1"/>
    <col min="11" max="11" width="5.85546875" customWidth="1"/>
    <col min="12" max="12" width="7" customWidth="1"/>
    <col min="13" max="13" width="12.42578125" customWidth="1"/>
  </cols>
  <sheetData>
    <row r="2" spans="1:14" ht="12.75" customHeight="1">
      <c r="A2" s="8"/>
      <c r="B2" s="10"/>
      <c r="C2" s="10"/>
      <c r="D2" s="10"/>
      <c r="E2" s="669"/>
      <c r="F2" s="669"/>
      <c r="G2" s="669"/>
      <c r="H2" s="10"/>
    </row>
    <row r="3" spans="1:14" ht="16.5" customHeight="1">
      <c r="A3" s="8"/>
      <c r="B3" s="670" t="s">
        <v>0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5"/>
      <c r="N3" s="26"/>
    </row>
    <row r="4" spans="1:14" ht="21.75" customHeight="1">
      <c r="A4" s="8"/>
      <c r="B4" s="422" t="s">
        <v>1</v>
      </c>
      <c r="C4" s="671"/>
      <c r="D4" s="671"/>
      <c r="E4" s="671"/>
      <c r="F4" s="423" t="s">
        <v>328</v>
      </c>
      <c r="G4" s="349"/>
      <c r="H4" s="12"/>
      <c r="I4" s="5"/>
      <c r="J4" s="6" t="s">
        <v>2</v>
      </c>
      <c r="K4" s="672">
        <v>45770</v>
      </c>
      <c r="L4" s="673"/>
      <c r="M4" s="674"/>
      <c r="N4" s="26"/>
    </row>
    <row r="5" spans="1:14" ht="15" customHeight="1">
      <c r="A5" s="8"/>
      <c r="B5" s="422" t="s">
        <v>369</v>
      </c>
      <c r="C5" s="671" t="s">
        <v>4</v>
      </c>
      <c r="D5" s="671"/>
      <c r="E5" s="423"/>
      <c r="F5" s="423" t="s">
        <v>169</v>
      </c>
      <c r="G5" s="12"/>
      <c r="H5" s="14"/>
      <c r="I5" s="5"/>
      <c r="J5" s="5"/>
      <c r="K5" s="5"/>
      <c r="L5" s="5"/>
      <c r="M5" s="5"/>
      <c r="N5" s="26"/>
    </row>
    <row r="6" spans="1:14" ht="7.5" customHeight="1">
      <c r="A6" s="8"/>
      <c r="B6" s="424"/>
      <c r="C6" s="424"/>
      <c r="D6" s="424"/>
      <c r="E6" s="424"/>
      <c r="F6" s="424"/>
      <c r="G6" s="15"/>
      <c r="H6" s="16"/>
      <c r="I6" s="5"/>
      <c r="J6" s="5"/>
      <c r="K6" s="5"/>
      <c r="L6" s="5"/>
      <c r="M6" s="5"/>
      <c r="N6" s="26"/>
    </row>
    <row r="7" spans="1:14" ht="14.25" customHeight="1">
      <c r="A7" s="8"/>
      <c r="B7" s="667" t="s">
        <v>5</v>
      </c>
      <c r="C7" s="667"/>
      <c r="D7" s="667"/>
      <c r="E7" s="667"/>
      <c r="F7" s="667"/>
      <c r="G7" s="145"/>
      <c r="H7" s="145"/>
      <c r="I7" s="145"/>
      <c r="J7" s="677" t="s">
        <v>6</v>
      </c>
      <c r="K7" s="677"/>
      <c r="L7" s="677"/>
      <c r="M7" s="145"/>
      <c r="N7" s="118"/>
    </row>
    <row r="8" spans="1:14" ht="14.25" customHeight="1">
      <c r="A8" s="8"/>
      <c r="B8" s="15"/>
      <c r="C8" s="15"/>
      <c r="D8" s="15"/>
      <c r="E8" s="658" t="s">
        <v>7</v>
      </c>
      <c r="F8" s="658"/>
      <c r="G8" s="15"/>
      <c r="H8" s="16"/>
      <c r="I8" s="5"/>
      <c r="J8" s="16"/>
      <c r="K8" s="14"/>
      <c r="L8" s="676" t="s">
        <v>8</v>
      </c>
      <c r="M8" s="676"/>
      <c r="N8" s="26"/>
    </row>
    <row r="9" spans="1:14" ht="14.25" customHeight="1">
      <c r="A9" s="8"/>
      <c r="B9" s="15"/>
      <c r="C9" s="15"/>
      <c r="D9" s="15"/>
      <c r="E9" s="188" t="s">
        <v>9</v>
      </c>
      <c r="F9" s="188" t="s">
        <v>10</v>
      </c>
      <c r="G9" s="15"/>
      <c r="H9" s="16"/>
      <c r="I9" s="5"/>
      <c r="J9" s="14" t="s">
        <v>11</v>
      </c>
      <c r="K9" s="140"/>
      <c r="L9" s="354" t="s">
        <v>12</v>
      </c>
      <c r="M9" s="424" t="s">
        <v>13</v>
      </c>
      <c r="N9" s="26"/>
    </row>
    <row r="10" spans="1:14" ht="17.25" customHeight="1">
      <c r="A10" s="8"/>
      <c r="B10" s="425" t="s">
        <v>339</v>
      </c>
      <c r="C10" s="191">
        <f>107000*C12</f>
        <v>0</v>
      </c>
      <c r="D10" s="190" t="s">
        <v>14</v>
      </c>
      <c r="E10" s="192" t="s">
        <v>331</v>
      </c>
      <c r="F10" s="411" t="s">
        <v>332</v>
      </c>
      <c r="G10" s="16"/>
      <c r="H10" s="16"/>
      <c r="I10" s="5"/>
      <c r="J10" s="14" t="s">
        <v>15</v>
      </c>
      <c r="K10" s="140"/>
      <c r="L10" s="354" t="s">
        <v>12</v>
      </c>
      <c r="M10" s="424" t="s">
        <v>16</v>
      </c>
      <c r="N10" s="26"/>
    </row>
    <row r="11" spans="1:14" ht="15.75" customHeight="1">
      <c r="A11" s="8"/>
      <c r="B11" s="425" t="s">
        <v>340</v>
      </c>
      <c r="C11" s="193"/>
      <c r="D11" s="190" t="s">
        <v>14</v>
      </c>
      <c r="E11" s="411" t="s">
        <v>17</v>
      </c>
      <c r="F11" s="411" t="s">
        <v>17</v>
      </c>
      <c r="G11" s="16"/>
      <c r="H11" s="16"/>
      <c r="I11" s="5"/>
      <c r="J11" s="14" t="s">
        <v>18</v>
      </c>
      <c r="K11" s="140"/>
      <c r="L11" s="354" t="s">
        <v>19</v>
      </c>
      <c r="M11" s="424" t="s">
        <v>20</v>
      </c>
      <c r="N11" s="26"/>
    </row>
    <row r="12" spans="1:14" ht="15.75" customHeight="1">
      <c r="A12" s="8"/>
      <c r="B12" s="425" t="s">
        <v>334</v>
      </c>
      <c r="C12" s="194" t="s">
        <v>341</v>
      </c>
      <c r="D12" s="190" t="s">
        <v>21</v>
      </c>
      <c r="E12" s="411" t="s">
        <v>22</v>
      </c>
      <c r="F12" s="411" t="s">
        <v>23</v>
      </c>
      <c r="G12" s="16"/>
      <c r="H12" s="16"/>
      <c r="I12" s="5"/>
      <c r="J12" s="14" t="s">
        <v>24</v>
      </c>
      <c r="K12" s="140"/>
      <c r="L12" s="354" t="s">
        <v>21</v>
      </c>
      <c r="M12" s="424" t="s">
        <v>25</v>
      </c>
      <c r="N12" s="26"/>
    </row>
    <row r="13" spans="1:14" ht="16.5" customHeight="1">
      <c r="A13" s="8"/>
      <c r="B13" s="425" t="s">
        <v>335</v>
      </c>
      <c r="C13" s="195">
        <f>0.32*C12</f>
        <v>0</v>
      </c>
      <c r="D13" s="190" t="s">
        <v>26</v>
      </c>
      <c r="E13" s="411" t="s">
        <v>27</v>
      </c>
      <c r="F13" s="411" t="s">
        <v>28</v>
      </c>
      <c r="G13" s="16"/>
      <c r="H13" s="16"/>
      <c r="I13" s="5"/>
      <c r="J13" s="12" t="s">
        <v>29</v>
      </c>
      <c r="K13" s="140"/>
      <c r="L13" s="196"/>
      <c r="M13" s="427"/>
      <c r="N13" s="26"/>
    </row>
    <row r="14" spans="1:14" ht="14.25" customHeight="1">
      <c r="A14" s="8"/>
      <c r="B14" s="425" t="s">
        <v>31</v>
      </c>
      <c r="C14" s="194"/>
      <c r="D14" s="190" t="s">
        <v>32</v>
      </c>
      <c r="E14" s="194" t="s">
        <v>33</v>
      </c>
      <c r="F14" s="194" t="s">
        <v>34</v>
      </c>
      <c r="G14" s="16"/>
      <c r="H14" s="16"/>
      <c r="I14" s="5"/>
      <c r="J14" s="198" t="s">
        <v>35</v>
      </c>
      <c r="K14" s="140"/>
      <c r="L14" s="355" t="s">
        <v>19</v>
      </c>
      <c r="M14" s="428" t="s">
        <v>36</v>
      </c>
      <c r="N14" s="26"/>
    </row>
    <row r="15" spans="1:14" ht="14.25" customHeight="1">
      <c r="A15" s="8"/>
      <c r="B15" s="426" t="s">
        <v>37</v>
      </c>
      <c r="C15" s="193"/>
      <c r="D15" s="209" t="s">
        <v>38</v>
      </c>
      <c r="E15" s="660" t="s">
        <v>39</v>
      </c>
      <c r="F15" s="660"/>
      <c r="G15" s="16"/>
      <c r="H15" s="16"/>
      <c r="I15" s="5"/>
      <c r="J15" s="678" t="s">
        <v>41</v>
      </c>
      <c r="K15" s="678"/>
      <c r="L15" s="678"/>
      <c r="M15" s="388"/>
      <c r="N15" s="361"/>
    </row>
    <row r="16" spans="1:14" ht="14.25" customHeight="1">
      <c r="A16" s="8"/>
      <c r="B16" s="425"/>
      <c r="C16" s="190"/>
      <c r="D16" s="194"/>
      <c r="E16" s="662" t="s">
        <v>40</v>
      </c>
      <c r="F16" s="663"/>
      <c r="G16" s="16"/>
      <c r="H16" s="16"/>
      <c r="I16" s="5"/>
      <c r="J16" s="199" t="s">
        <v>323</v>
      </c>
      <c r="K16" s="675"/>
      <c r="L16" s="675"/>
      <c r="M16" s="182"/>
      <c r="N16" s="361"/>
    </row>
    <row r="17" spans="1:14" ht="14.25" customHeight="1">
      <c r="A17" s="8"/>
      <c r="B17" s="425" t="s">
        <v>42</v>
      </c>
      <c r="C17" s="389">
        <v>0</v>
      </c>
      <c r="D17" s="200">
        <f>(C17*C11)</f>
        <v>0</v>
      </c>
      <c r="E17" s="201" t="s">
        <v>14</v>
      </c>
      <c r="F17" s="348" t="s">
        <v>43</v>
      </c>
      <c r="G17" s="16"/>
      <c r="H17" s="16"/>
      <c r="I17" s="5"/>
      <c r="J17" s="199" t="s">
        <v>324</v>
      </c>
      <c r="K17" s="675" t="s">
        <v>366</v>
      </c>
      <c r="L17" s="675"/>
      <c r="M17" s="353"/>
      <c r="N17" s="361"/>
    </row>
    <row r="18" spans="1:14" ht="14.25" customHeight="1">
      <c r="A18" s="8"/>
      <c r="B18" s="425" t="s">
        <v>45</v>
      </c>
      <c r="C18" s="371">
        <v>0</v>
      </c>
      <c r="D18" s="200">
        <f>(C18*C11)</f>
        <v>0</v>
      </c>
      <c r="E18" s="201" t="s">
        <v>14</v>
      </c>
      <c r="F18" s="348" t="s">
        <v>46</v>
      </c>
      <c r="G18" s="16"/>
      <c r="H18" s="16"/>
      <c r="I18" s="5"/>
      <c r="J18" s="679" t="s">
        <v>216</v>
      </c>
      <c r="K18" s="679"/>
      <c r="L18" s="679"/>
      <c r="M18" s="199"/>
      <c r="N18" s="361"/>
    </row>
    <row r="19" spans="1:14" ht="14.25" customHeight="1">
      <c r="A19" s="8"/>
      <c r="B19" s="425" t="s">
        <v>48</v>
      </c>
      <c r="C19" s="371">
        <v>0</v>
      </c>
      <c r="D19" s="200">
        <f>(C19*C11)</f>
        <v>0</v>
      </c>
      <c r="E19" s="201" t="s">
        <v>14</v>
      </c>
      <c r="F19" s="348" t="s">
        <v>49</v>
      </c>
      <c r="G19" s="16"/>
      <c r="H19" s="16"/>
      <c r="I19" s="5"/>
      <c r="J19" s="390" t="s">
        <v>217</v>
      </c>
      <c r="K19" s="391" t="s">
        <v>325</v>
      </c>
      <c r="L19" s="392"/>
      <c r="M19" s="392"/>
      <c r="N19" s="361"/>
    </row>
    <row r="20" spans="1:14" ht="14.25" customHeight="1">
      <c r="A20" s="8"/>
      <c r="B20" s="425" t="s">
        <v>50</v>
      </c>
      <c r="C20" s="371">
        <v>0</v>
      </c>
      <c r="D20" s="200">
        <f>(C20*C11)</f>
        <v>0</v>
      </c>
      <c r="E20" s="201" t="s">
        <v>14</v>
      </c>
      <c r="F20" s="194" t="s">
        <v>51</v>
      </c>
      <c r="G20" s="16"/>
      <c r="H20" s="16"/>
      <c r="I20" s="5"/>
      <c r="J20" s="188" t="s">
        <v>219</v>
      </c>
      <c r="K20" s="121" t="s">
        <v>220</v>
      </c>
      <c r="L20" s="5"/>
      <c r="M20" s="5"/>
      <c r="N20" s="361"/>
    </row>
    <row r="21" spans="1:14" ht="14.25" customHeight="1">
      <c r="A21" s="8"/>
      <c r="B21" s="387" t="s">
        <v>54</v>
      </c>
      <c r="C21" s="371">
        <v>0</v>
      </c>
      <c r="D21" s="200">
        <f>(C21*C11)</f>
        <v>0</v>
      </c>
      <c r="E21" s="201" t="s">
        <v>14</v>
      </c>
      <c r="F21" s="190"/>
      <c r="G21" s="16"/>
      <c r="H21" s="16"/>
      <c r="I21" s="5"/>
      <c r="J21" s="362" t="s">
        <v>326</v>
      </c>
      <c r="K21" s="680"/>
      <c r="L21" s="680"/>
      <c r="M21" s="5"/>
      <c r="N21" s="26"/>
    </row>
    <row r="22" spans="1:14" ht="9.75" customHeight="1">
      <c r="A22" s="8"/>
      <c r="B22" s="117"/>
      <c r="C22" s="117"/>
      <c r="D22" s="359"/>
      <c r="E22" s="117"/>
      <c r="F22" s="117"/>
      <c r="G22" s="117"/>
      <c r="H22" s="117"/>
      <c r="I22" s="26"/>
      <c r="J22" s="26"/>
      <c r="K22" s="26"/>
      <c r="L22" s="26"/>
      <c r="M22" s="26"/>
      <c r="N22" s="26"/>
    </row>
    <row r="23" spans="1:14">
      <c r="A23" s="8"/>
      <c r="B23" s="666" t="s">
        <v>55</v>
      </c>
      <c r="C23" s="666"/>
      <c r="D23" s="666"/>
      <c r="E23" s="666"/>
      <c r="F23" s="118"/>
      <c r="G23" s="666" t="s">
        <v>56</v>
      </c>
      <c r="H23" s="666"/>
      <c r="I23" s="666"/>
      <c r="J23" s="666"/>
      <c r="K23" s="666"/>
      <c r="L23" s="666"/>
      <c r="M23" s="361"/>
      <c r="N23" s="363"/>
    </row>
    <row r="24" spans="1:14" ht="3.75" customHeight="1">
      <c r="A24" s="8"/>
      <c r="B24" s="356"/>
      <c r="C24" s="356"/>
      <c r="D24" s="356"/>
      <c r="E24" s="356"/>
      <c r="F24" s="118"/>
      <c r="G24" s="356"/>
      <c r="H24" s="356"/>
      <c r="I24" s="356"/>
      <c r="J24" s="356"/>
      <c r="K24" s="356"/>
      <c r="L24" s="356"/>
      <c r="M24" s="361"/>
      <c r="N24" s="363"/>
    </row>
    <row r="25" spans="1:14" ht="16.5">
      <c r="A25" s="8"/>
      <c r="B25" s="429" t="s">
        <v>57</v>
      </c>
      <c r="C25" s="146"/>
      <c r="D25" s="364" t="s">
        <v>58</v>
      </c>
      <c r="E25" s="182" t="s">
        <v>59</v>
      </c>
      <c r="F25" s="363"/>
      <c r="G25" s="361"/>
      <c r="H25" s="361"/>
      <c r="I25" s="361"/>
      <c r="J25" s="429" t="s">
        <v>60</v>
      </c>
      <c r="K25" s="348"/>
      <c r="L25" s="348" t="s">
        <v>61</v>
      </c>
      <c r="M25" s="431" t="s">
        <v>62</v>
      </c>
      <c r="N25" s="365"/>
    </row>
    <row r="26" spans="1:14" ht="9.9499999999999993" customHeight="1">
      <c r="A26" s="8"/>
      <c r="B26" s="432" t="s">
        <v>45</v>
      </c>
      <c r="C26" s="150"/>
      <c r="D26" s="366">
        <v>0.56999999999999995</v>
      </c>
      <c r="E26" s="183" t="s">
        <v>46</v>
      </c>
      <c r="F26" s="363"/>
      <c r="G26" s="361"/>
      <c r="H26" s="361"/>
      <c r="I26" s="361"/>
      <c r="J26" s="429"/>
      <c r="K26" s="182"/>
      <c r="L26" s="182"/>
      <c r="M26" s="431"/>
      <c r="N26" s="367"/>
    </row>
    <row r="27" spans="1:14" ht="16.5">
      <c r="A27" s="8"/>
      <c r="B27" s="429" t="s">
        <v>63</v>
      </c>
      <c r="C27" s="146"/>
      <c r="D27" s="368" t="s">
        <v>58</v>
      </c>
      <c r="E27" s="182" t="s">
        <v>64</v>
      </c>
      <c r="F27" s="363"/>
      <c r="G27" s="361"/>
      <c r="H27" s="361"/>
      <c r="I27" s="361"/>
      <c r="J27" s="429" t="s">
        <v>65</v>
      </c>
      <c r="K27" s="348"/>
      <c r="L27" s="348" t="s">
        <v>61</v>
      </c>
      <c r="M27" s="431" t="s">
        <v>66</v>
      </c>
      <c r="N27" s="365"/>
    </row>
    <row r="28" spans="1:14" ht="6" customHeight="1">
      <c r="A28" s="8"/>
      <c r="B28" s="429"/>
      <c r="C28" s="369"/>
      <c r="D28" s="370"/>
      <c r="E28" s="184"/>
      <c r="F28" s="363"/>
      <c r="G28" s="361"/>
      <c r="H28" s="361"/>
      <c r="I28" s="361"/>
      <c r="J28" s="429"/>
      <c r="K28" s="182"/>
      <c r="L28" s="182"/>
      <c r="M28" s="431"/>
      <c r="N28" s="367"/>
    </row>
    <row r="29" spans="1:14" ht="16.5">
      <c r="A29" s="8"/>
      <c r="B29" s="429" t="s">
        <v>67</v>
      </c>
      <c r="C29" s="146"/>
      <c r="D29" s="371" t="s">
        <v>58</v>
      </c>
      <c r="E29" s="182" t="s">
        <v>68</v>
      </c>
      <c r="F29" s="363"/>
      <c r="G29" s="361"/>
      <c r="H29" s="361"/>
      <c r="I29" s="361"/>
      <c r="J29" s="429" t="s">
        <v>69</v>
      </c>
      <c r="K29" s="348"/>
      <c r="L29" s="348" t="s">
        <v>61</v>
      </c>
      <c r="M29" s="431" t="s">
        <v>70</v>
      </c>
      <c r="N29" s="365"/>
    </row>
    <row r="30" spans="1:14" ht="6" customHeight="1">
      <c r="A30" s="8"/>
      <c r="B30" s="429"/>
      <c r="C30" s="369"/>
      <c r="D30" s="182"/>
      <c r="E30" s="182"/>
      <c r="F30" s="363"/>
      <c r="G30" s="361"/>
      <c r="H30" s="361"/>
      <c r="I30" s="361"/>
      <c r="J30" s="429"/>
      <c r="K30" s="182"/>
      <c r="L30" s="182"/>
      <c r="M30" s="431"/>
      <c r="N30" s="367"/>
    </row>
    <row r="31" spans="1:14" ht="16.5">
      <c r="A31" s="8"/>
      <c r="B31" s="429" t="s">
        <v>71</v>
      </c>
      <c r="C31" s="146"/>
      <c r="D31" s="348" t="s">
        <v>58</v>
      </c>
      <c r="E31" s="182" t="s">
        <v>72</v>
      </c>
      <c r="F31" s="363"/>
      <c r="G31" s="361"/>
      <c r="H31" s="361"/>
      <c r="I31" s="361"/>
      <c r="J31" s="429" t="s">
        <v>73</v>
      </c>
      <c r="K31" s="348"/>
      <c r="L31" s="348" t="s">
        <v>58</v>
      </c>
      <c r="M31" s="431" t="s">
        <v>74</v>
      </c>
      <c r="N31" s="365"/>
    </row>
    <row r="32" spans="1:14" ht="7.5" customHeight="1">
      <c r="A32" s="8"/>
      <c r="B32" s="429"/>
      <c r="C32" s="369"/>
      <c r="D32" s="657"/>
      <c r="E32" s="657"/>
      <c r="F32" s="363"/>
      <c r="G32" s="361"/>
      <c r="H32" s="361"/>
      <c r="I32" s="361"/>
      <c r="J32" s="429"/>
      <c r="K32" s="182"/>
      <c r="L32" s="182"/>
      <c r="M32" s="431"/>
      <c r="N32" s="367"/>
    </row>
    <row r="33" spans="1:16" ht="16.5">
      <c r="A33" s="8"/>
      <c r="B33" s="429" t="s">
        <v>75</v>
      </c>
      <c r="C33" s="146"/>
      <c r="D33" s="348" t="s">
        <v>58</v>
      </c>
      <c r="E33" s="182" t="s">
        <v>76</v>
      </c>
      <c r="F33" s="363"/>
      <c r="G33" s="361"/>
      <c r="H33" s="361"/>
      <c r="I33" s="361"/>
      <c r="J33" s="429" t="s">
        <v>77</v>
      </c>
      <c r="K33" s="348"/>
      <c r="L33" s="348" t="s">
        <v>58</v>
      </c>
      <c r="M33" s="431" t="s">
        <v>78</v>
      </c>
      <c r="N33" s="365"/>
    </row>
    <row r="34" spans="1:16" ht="5.25" customHeight="1">
      <c r="A34" s="8"/>
      <c r="B34" s="429"/>
      <c r="C34" s="117"/>
      <c r="D34" s="182"/>
      <c r="E34" s="182"/>
      <c r="F34" s="363"/>
      <c r="G34" s="361"/>
      <c r="H34" s="361"/>
      <c r="I34" s="361"/>
      <c r="J34" s="429"/>
      <c r="K34" s="182"/>
      <c r="L34" s="182"/>
      <c r="M34" s="431"/>
      <c r="N34" s="367"/>
    </row>
    <row r="35" spans="1:16" ht="16.5">
      <c r="A35" s="8"/>
      <c r="B35" s="429" t="s">
        <v>79</v>
      </c>
      <c r="C35" s="360"/>
      <c r="D35" s="372" t="s">
        <v>21</v>
      </c>
      <c r="E35" s="353" t="s">
        <v>80</v>
      </c>
      <c r="F35" s="363"/>
      <c r="G35" s="361"/>
      <c r="H35" s="361"/>
      <c r="I35" s="361"/>
      <c r="J35" s="14" t="s">
        <v>81</v>
      </c>
      <c r="K35" s="348"/>
      <c r="L35" s="348" t="s">
        <v>58</v>
      </c>
      <c r="M35" s="431" t="s">
        <v>368</v>
      </c>
      <c r="N35" s="373"/>
    </row>
    <row r="36" spans="1:16" ht="5.25" customHeight="1">
      <c r="A36" s="8"/>
      <c r="B36" s="149"/>
      <c r="C36" s="117"/>
      <c r="D36" s="374"/>
      <c r="E36" s="361"/>
      <c r="F36" s="375"/>
      <c r="G36" s="117"/>
      <c r="H36" s="117"/>
      <c r="I36" s="361"/>
      <c r="J36" s="369"/>
      <c r="K36" s="357"/>
      <c r="L36" s="357"/>
      <c r="M36" s="361"/>
      <c r="N36" s="361"/>
    </row>
    <row r="37" spans="1:16" ht="14.25" customHeight="1">
      <c r="A37" s="152"/>
      <c r="B37" s="666" t="s">
        <v>83</v>
      </c>
      <c r="C37" s="666"/>
      <c r="D37" s="666"/>
      <c r="E37" s="666"/>
      <c r="F37" s="118" t="s">
        <v>84</v>
      </c>
      <c r="G37" s="359"/>
      <c r="H37" s="117"/>
      <c r="I37" s="117"/>
      <c r="J37" s="666" t="s">
        <v>85</v>
      </c>
      <c r="K37" s="666"/>
      <c r="L37" s="666"/>
      <c r="M37" s="666"/>
      <c r="N37" s="118"/>
      <c r="O37" s="118"/>
      <c r="P37" s="356"/>
    </row>
    <row r="38" spans="1:16" ht="4.5" customHeight="1">
      <c r="A38" s="152"/>
      <c r="B38" s="117"/>
      <c r="C38" s="369"/>
      <c r="D38" s="357"/>
      <c r="E38" s="117"/>
      <c r="F38" s="369"/>
      <c r="G38" s="117"/>
      <c r="H38" s="117"/>
      <c r="I38" s="117"/>
      <c r="J38" s="369"/>
      <c r="K38" s="117"/>
      <c r="L38" s="117"/>
      <c r="M38" s="117"/>
      <c r="N38" s="117"/>
    </row>
    <row r="39" spans="1:16" ht="15" customHeight="1">
      <c r="A39" s="152"/>
      <c r="B39" s="376" t="s">
        <v>86</v>
      </c>
      <c r="C39" s="415"/>
      <c r="D39" s="416" t="s">
        <v>87</v>
      </c>
      <c r="E39" s="359" t="s">
        <v>88</v>
      </c>
      <c r="F39" s="375"/>
      <c r="G39" s="365"/>
      <c r="H39" s="365"/>
      <c r="I39" s="117"/>
      <c r="J39" s="14" t="s">
        <v>89</v>
      </c>
      <c r="K39" s="416">
        <v>164.5</v>
      </c>
      <c r="L39" s="83" t="s">
        <v>58</v>
      </c>
      <c r="M39" s="359" t="s">
        <v>90</v>
      </c>
      <c r="N39" s="375"/>
      <c r="P39" s="350"/>
    </row>
    <row r="40" spans="1:16" ht="15" customHeight="1">
      <c r="A40" s="152"/>
      <c r="B40" s="376" t="s">
        <v>91</v>
      </c>
      <c r="C40" s="416"/>
      <c r="D40" s="416" t="s">
        <v>87</v>
      </c>
      <c r="E40" s="359" t="s">
        <v>92</v>
      </c>
      <c r="F40" s="375"/>
      <c r="G40" s="148"/>
      <c r="H40" s="148"/>
      <c r="I40" s="375"/>
      <c r="J40" s="14" t="s">
        <v>93</v>
      </c>
      <c r="K40" s="416">
        <v>102.4</v>
      </c>
      <c r="L40" s="83" t="s">
        <v>58</v>
      </c>
      <c r="M40" s="359" t="s">
        <v>94</v>
      </c>
      <c r="N40" s="369"/>
      <c r="O40" s="115"/>
      <c r="P40" s="350"/>
    </row>
    <row r="41" spans="1:16" ht="15" customHeight="1">
      <c r="A41" s="152"/>
      <c r="B41" s="376" t="s">
        <v>95</v>
      </c>
      <c r="C41" s="415">
        <f>C39-C40</f>
        <v>0</v>
      </c>
      <c r="D41" s="416" t="s">
        <v>87</v>
      </c>
      <c r="E41" s="359" t="s">
        <v>96</v>
      </c>
      <c r="F41" s="375"/>
      <c r="G41" s="148"/>
      <c r="H41" s="148"/>
      <c r="I41" s="375"/>
      <c r="J41" s="14" t="s">
        <v>97</v>
      </c>
      <c r="K41" s="416"/>
      <c r="L41" s="83" t="s">
        <v>58</v>
      </c>
      <c r="M41" s="681" t="s">
        <v>98</v>
      </c>
      <c r="N41" s="681"/>
      <c r="P41" s="350"/>
    </row>
    <row r="42" spans="1:16" ht="15" customHeight="1">
      <c r="A42" s="152"/>
      <c r="B42" s="376" t="s">
        <v>99</v>
      </c>
      <c r="C42" s="416"/>
      <c r="D42" s="416" t="s">
        <v>100</v>
      </c>
      <c r="E42" s="359" t="s">
        <v>101</v>
      </c>
      <c r="F42" s="375"/>
      <c r="G42" s="148"/>
      <c r="H42" s="148"/>
      <c r="I42" s="375"/>
      <c r="J42" s="14" t="s">
        <v>102</v>
      </c>
      <c r="K42" s="416">
        <f>K39-K41-K43</f>
        <v>144.02000000000001</v>
      </c>
      <c r="L42" s="83" t="s">
        <v>58</v>
      </c>
      <c r="M42" s="365" t="s">
        <v>103</v>
      </c>
      <c r="N42" s="365"/>
      <c r="O42" s="350"/>
      <c r="P42" s="350"/>
    </row>
    <row r="43" spans="1:16" ht="15" customHeight="1">
      <c r="A43" s="152"/>
      <c r="B43" s="376" t="s">
        <v>104</v>
      </c>
      <c r="C43" s="416"/>
      <c r="D43" s="416" t="s">
        <v>100</v>
      </c>
      <c r="E43" s="359" t="s">
        <v>101</v>
      </c>
      <c r="F43" s="375"/>
      <c r="G43" s="148"/>
      <c r="H43" s="148"/>
      <c r="I43" s="375"/>
      <c r="J43" s="14" t="s">
        <v>105</v>
      </c>
      <c r="K43" s="416">
        <f>K40/5</f>
        <v>20.48</v>
      </c>
      <c r="L43" s="83" t="s">
        <v>58</v>
      </c>
      <c r="M43" s="681" t="s">
        <v>106</v>
      </c>
      <c r="N43" s="681"/>
    </row>
    <row r="44" spans="1:16" ht="15" customHeight="1">
      <c r="A44" s="102"/>
      <c r="B44" s="377" t="s">
        <v>107</v>
      </c>
      <c r="C44" s="358"/>
      <c r="D44" s="358" t="s">
        <v>108</v>
      </c>
      <c r="E44" s="378" t="s">
        <v>109</v>
      </c>
      <c r="F44" s="375"/>
      <c r="G44" s="148"/>
      <c r="H44" s="148"/>
      <c r="I44" s="375"/>
      <c r="J44" s="375"/>
      <c r="K44" s="117"/>
      <c r="L44" s="117"/>
      <c r="M44" s="117"/>
      <c r="N44" s="117"/>
      <c r="O44" s="350"/>
      <c r="P44" s="350"/>
    </row>
    <row r="45" spans="1:16">
      <c r="A45" s="8"/>
      <c r="B45" s="76"/>
      <c r="C45" s="76"/>
      <c r="D45" s="76"/>
      <c r="E45" s="76"/>
      <c r="F45" s="76"/>
      <c r="G45" s="10"/>
      <c r="H45" s="10"/>
      <c r="I45" s="76"/>
      <c r="J45" s="76"/>
      <c r="K45" s="76"/>
      <c r="L45" s="76"/>
      <c r="M45" s="76"/>
    </row>
    <row r="46" spans="1:16">
      <c r="A46" s="8"/>
      <c r="B46" s="76"/>
      <c r="C46" s="76"/>
      <c r="D46" s="76"/>
      <c r="E46" s="76"/>
      <c r="F46" s="76"/>
      <c r="G46" s="10"/>
      <c r="H46" s="10"/>
      <c r="I46" s="76"/>
      <c r="J46" s="76"/>
      <c r="K46" s="76"/>
      <c r="L46" s="76"/>
      <c r="M46" s="76"/>
    </row>
    <row r="47" spans="1:16">
      <c r="A47" s="8"/>
      <c r="B47" s="61"/>
      <c r="C47" s="657" t="s">
        <v>110</v>
      </c>
      <c r="D47" s="632"/>
      <c r="E47" s="632"/>
      <c r="F47" s="632"/>
      <c r="G47" s="10"/>
      <c r="H47" s="10"/>
      <c r="I47" s="76"/>
      <c r="J47" s="48"/>
      <c r="K47" s="48"/>
      <c r="L47" s="48"/>
      <c r="M47" s="48"/>
    </row>
    <row r="48" spans="1:16" ht="15.75" customHeight="1">
      <c r="A48" s="8"/>
      <c r="B48" s="61"/>
      <c r="C48" s="106"/>
      <c r="D48" s="577"/>
      <c r="E48" s="577"/>
      <c r="F48" s="578" t="s">
        <v>111</v>
      </c>
      <c r="G48" s="383"/>
      <c r="H48" s="383"/>
      <c r="I48" s="363"/>
      <c r="J48" s="363"/>
      <c r="K48" s="117"/>
      <c r="L48" s="361"/>
      <c r="M48" s="361"/>
      <c r="N48" s="361"/>
      <c r="O48" s="350"/>
      <c r="P48" s="350"/>
    </row>
    <row r="49" spans="1:16" ht="15.75" customHeight="1">
      <c r="A49" s="8"/>
      <c r="B49" s="682" t="s">
        <v>112</v>
      </c>
      <c r="C49" s="682"/>
      <c r="D49" s="114"/>
      <c r="E49" s="584" t="s">
        <v>113</v>
      </c>
      <c r="F49" s="585"/>
      <c r="G49" s="383"/>
      <c r="H49" s="383"/>
      <c r="I49" s="363"/>
      <c r="J49" s="363"/>
      <c r="K49" s="117"/>
      <c r="L49" s="361"/>
      <c r="M49" s="361"/>
      <c r="N49" s="361"/>
      <c r="O49" s="350"/>
      <c r="P49" s="350"/>
    </row>
    <row r="50" spans="1:16" ht="15.75" customHeight="1">
      <c r="A50" s="8"/>
      <c r="B50" s="379"/>
      <c r="C50" s="379"/>
      <c r="D50" s="380"/>
      <c r="E50" s="381"/>
      <c r="F50" s="382"/>
      <c r="G50" s="383"/>
      <c r="H50" s="383"/>
      <c r="I50" s="363"/>
      <c r="J50" s="363"/>
      <c r="K50" s="117"/>
      <c r="L50" s="361"/>
      <c r="M50" s="361"/>
      <c r="N50" s="361"/>
      <c r="O50" s="350"/>
      <c r="P50" s="350"/>
    </row>
    <row r="51" spans="1:16" ht="15.75" customHeight="1">
      <c r="A51" s="8"/>
      <c r="B51" s="379"/>
      <c r="C51" s="379"/>
      <c r="D51" s="380"/>
      <c r="E51" s="381"/>
      <c r="F51" s="382"/>
      <c r="G51" s="383"/>
      <c r="H51" s="383"/>
      <c r="I51" s="363"/>
      <c r="J51" s="363"/>
      <c r="K51" s="117"/>
      <c r="L51" s="361"/>
      <c r="M51" s="361"/>
      <c r="N51" s="361"/>
      <c r="O51" s="350"/>
      <c r="P51" s="350"/>
    </row>
    <row r="52" spans="1:16">
      <c r="A52" s="8"/>
      <c r="B52" s="650" t="s">
        <v>114</v>
      </c>
      <c r="C52" s="651"/>
      <c r="D52" s="652"/>
      <c r="E52" s="153"/>
      <c r="F52" s="154"/>
      <c r="G52" s="152"/>
      <c r="H52" s="152"/>
      <c r="I52" s="26"/>
      <c r="J52" s="26"/>
      <c r="K52" s="102"/>
      <c r="L52" s="103"/>
      <c r="M52" s="103"/>
      <c r="N52" s="103"/>
    </row>
    <row r="53" spans="1:16" ht="14.25" customHeight="1">
      <c r="B53" s="650" t="s">
        <v>115</v>
      </c>
      <c r="C53" s="651"/>
      <c r="D53" s="652"/>
      <c r="E53" s="153"/>
      <c r="F53" s="154"/>
      <c r="G53" s="152"/>
      <c r="H53" s="152"/>
      <c r="I53" s="26"/>
      <c r="J53" s="26"/>
      <c r="K53" s="155"/>
      <c r="L53" s="155"/>
      <c r="M53" s="155"/>
      <c r="N53" s="155"/>
    </row>
    <row r="54" spans="1:16" ht="9" hidden="1" customHeight="1">
      <c r="A54" s="8"/>
      <c r="B54" s="117"/>
      <c r="C54" s="369"/>
      <c r="D54" s="357"/>
      <c r="E54" s="117"/>
      <c r="F54" s="369"/>
      <c r="G54" s="117"/>
      <c r="H54" s="117"/>
      <c r="I54" s="26"/>
      <c r="J54" s="26"/>
      <c r="K54" s="26"/>
      <c r="L54" s="26"/>
      <c r="M54" s="26"/>
      <c r="N54" s="26"/>
    </row>
    <row r="55" spans="1:16">
      <c r="A55" s="8"/>
      <c r="B55" s="152"/>
      <c r="C55" s="152"/>
      <c r="D55" s="384"/>
      <c r="E55" s="384"/>
      <c r="F55" s="384"/>
      <c r="G55" s="384"/>
      <c r="H55" s="384"/>
      <c r="I55" s="384"/>
      <c r="J55" s="384"/>
      <c r="K55" s="384"/>
      <c r="L55" s="384"/>
      <c r="M55" s="26"/>
      <c r="N55" s="26"/>
    </row>
    <row r="56" spans="1:16">
      <c r="A56" s="8"/>
      <c r="B56" s="384"/>
      <c r="C56" s="384"/>
      <c r="D56" s="384"/>
      <c r="E56" s="384"/>
      <c r="F56" s="384"/>
      <c r="G56" s="384"/>
      <c r="H56" s="384"/>
      <c r="I56" s="384"/>
      <c r="J56" s="384"/>
      <c r="K56" s="384"/>
      <c r="L56" s="384"/>
      <c r="M56" s="26"/>
      <c r="N56" s="26"/>
    </row>
    <row r="57" spans="1:16">
      <c r="A57" s="8"/>
      <c r="B57" s="152"/>
      <c r="C57" s="152"/>
      <c r="D57" s="384"/>
      <c r="E57" s="384"/>
      <c r="F57" s="384"/>
      <c r="G57" s="384"/>
      <c r="H57" s="384"/>
      <c r="I57" s="384"/>
      <c r="J57" s="384"/>
      <c r="K57" s="384"/>
      <c r="L57" s="384"/>
      <c r="M57" s="26"/>
      <c r="N57" s="26"/>
    </row>
    <row r="58" spans="1:16">
      <c r="A58" s="8"/>
      <c r="B58" s="152"/>
      <c r="C58" s="385"/>
      <c r="D58" s="384"/>
      <c r="E58" s="384"/>
      <c r="F58" s="384"/>
      <c r="G58" s="384"/>
      <c r="H58" s="384"/>
      <c r="I58" s="384"/>
      <c r="J58" s="384"/>
      <c r="K58" s="384"/>
      <c r="L58" s="384"/>
      <c r="M58" s="26"/>
      <c r="N58" s="26"/>
    </row>
    <row r="59" spans="1:16" ht="15" customHeight="1">
      <c r="A59" s="8"/>
      <c r="B59" s="117"/>
      <c r="C59" s="369"/>
      <c r="D59" s="357"/>
      <c r="E59" s="117"/>
      <c r="F59" s="369"/>
      <c r="G59" s="117"/>
      <c r="H59" s="117"/>
      <c r="I59" s="26"/>
      <c r="J59" s="26"/>
      <c r="K59" s="26"/>
      <c r="L59" s="26"/>
      <c r="M59" s="26"/>
      <c r="N59" s="26"/>
    </row>
    <row r="60" spans="1:16" ht="15" customHeight="1">
      <c r="A60" s="8"/>
      <c r="B60" s="117"/>
      <c r="C60" s="369"/>
      <c r="D60" s="357"/>
      <c r="E60" s="117"/>
      <c r="F60" s="369"/>
      <c r="G60" s="117"/>
      <c r="H60" s="117"/>
      <c r="I60" s="26"/>
      <c r="J60" s="26"/>
      <c r="K60" s="26"/>
      <c r="L60" s="26"/>
      <c r="M60" s="26"/>
      <c r="N60" s="26"/>
    </row>
    <row r="61" spans="1:16">
      <c r="A61" s="8"/>
      <c r="B61" s="653" t="s">
        <v>0</v>
      </c>
      <c r="C61" s="653"/>
      <c r="D61" s="653"/>
      <c r="E61" s="653"/>
      <c r="F61" s="653"/>
      <c r="G61" s="111"/>
      <c r="H61" s="111"/>
    </row>
    <row r="62" spans="1:16" ht="11.25" customHeight="1">
      <c r="A62" s="8"/>
      <c r="B62" s="386"/>
      <c r="C62" s="386"/>
      <c r="D62" s="386"/>
      <c r="E62" s="386"/>
      <c r="F62" s="386"/>
      <c r="G62" s="111"/>
      <c r="H62" s="111"/>
    </row>
    <row r="63" spans="1:16">
      <c r="A63" s="8"/>
      <c r="B63" s="130" t="s">
        <v>116</v>
      </c>
      <c r="C63" s="654"/>
      <c r="D63" s="654"/>
      <c r="E63" s="654"/>
      <c r="F63" s="130" t="s">
        <v>336</v>
      </c>
      <c r="G63" s="131"/>
      <c r="H63" s="111"/>
      <c r="J63" s="6" t="s">
        <v>2</v>
      </c>
      <c r="K63" s="655">
        <f ca="1">NOW()</f>
        <v>46278.258565972224</v>
      </c>
      <c r="L63" s="656"/>
      <c r="M63" s="48"/>
    </row>
    <row r="64" spans="1:16">
      <c r="A64" s="8"/>
      <c r="B64" s="130" t="s">
        <v>118</v>
      </c>
      <c r="C64" s="644" t="s">
        <v>4</v>
      </c>
      <c r="D64" s="644"/>
      <c r="E64" s="644"/>
      <c r="F64" s="130" t="s">
        <v>322</v>
      </c>
      <c r="G64" s="131"/>
      <c r="H64" s="111"/>
    </row>
    <row r="65" spans="1:12" ht="8.25" customHeight="1">
      <c r="A65" s="8"/>
      <c r="B65" s="10"/>
      <c r="C65" s="147"/>
      <c r="D65" s="352"/>
      <c r="E65" s="10"/>
      <c r="F65" s="147"/>
      <c r="G65" s="10"/>
      <c r="H65" s="10"/>
    </row>
    <row r="66" spans="1:12">
      <c r="A66" s="8"/>
      <c r="B66" s="205"/>
      <c r="C66" s="635" t="s">
        <v>126</v>
      </c>
      <c r="D66" s="635"/>
      <c r="E66" s="635"/>
      <c r="F66" s="635"/>
      <c r="G66" s="205"/>
      <c r="H66" s="205"/>
      <c r="I66" s="5"/>
      <c r="J66" s="5"/>
      <c r="K66" s="5"/>
      <c r="L66" s="5"/>
    </row>
    <row r="67" spans="1:12" ht="5.25" customHeight="1">
      <c r="A67" s="8"/>
      <c r="B67" s="205"/>
      <c r="C67" s="130"/>
      <c r="D67" s="130"/>
      <c r="E67" s="130"/>
      <c r="F67" s="130"/>
      <c r="G67" s="205"/>
      <c r="H67" s="205"/>
      <c r="I67" s="5"/>
      <c r="J67" s="5"/>
      <c r="K67" s="5"/>
      <c r="L67" s="5"/>
    </row>
    <row r="68" spans="1:12">
      <c r="A68" s="8"/>
      <c r="B68" s="206" t="s">
        <v>127</v>
      </c>
      <c r="C68" s="130"/>
      <c r="D68" s="130"/>
      <c r="E68" s="130"/>
      <c r="F68" s="130"/>
      <c r="G68" s="205"/>
      <c r="H68" s="205"/>
      <c r="I68" s="5"/>
      <c r="J68" s="5"/>
      <c r="K68" s="5"/>
      <c r="L68" s="5"/>
    </row>
    <row r="69" spans="1:12">
      <c r="A69" s="8"/>
      <c r="B69" s="207" t="s">
        <v>128</v>
      </c>
      <c r="C69" s="347"/>
      <c r="D69" s="130"/>
      <c r="E69" s="130" t="s">
        <v>130</v>
      </c>
      <c r="F69" s="193"/>
      <c r="G69" s="205"/>
      <c r="H69" s="205"/>
      <c r="I69" s="5"/>
      <c r="J69" s="5"/>
      <c r="K69" s="5"/>
      <c r="L69" s="5"/>
    </row>
    <row r="70" spans="1:12" ht="18.75" customHeight="1">
      <c r="A70" s="8"/>
      <c r="B70" s="207" t="s">
        <v>131</v>
      </c>
      <c r="C70" s="347"/>
      <c r="D70" s="207"/>
      <c r="E70" s="207" t="s">
        <v>133</v>
      </c>
      <c r="F70" s="347"/>
      <c r="G70" s="130"/>
      <c r="H70" s="205"/>
      <c r="I70" s="5"/>
      <c r="J70" s="5"/>
      <c r="K70" s="5"/>
      <c r="L70" s="5"/>
    </row>
    <row r="71" spans="1:12">
      <c r="A71" s="8"/>
      <c r="B71" s="207" t="s">
        <v>135</v>
      </c>
      <c r="C71" s="347"/>
      <c r="D71" s="207"/>
      <c r="E71" s="207" t="s">
        <v>137</v>
      </c>
      <c r="F71" s="347"/>
      <c r="G71" s="211"/>
      <c r="H71" s="205"/>
      <c r="I71" s="5"/>
      <c r="J71" s="5"/>
      <c r="K71" s="5"/>
      <c r="L71" s="5"/>
    </row>
    <row r="72" spans="1:12">
      <c r="A72" s="8"/>
      <c r="B72" s="207" t="s">
        <v>139</v>
      </c>
      <c r="C72" s="347"/>
      <c r="D72" s="207"/>
      <c r="E72" s="212"/>
      <c r="F72" s="207"/>
      <c r="G72" s="205"/>
      <c r="H72" s="205"/>
      <c r="I72" s="5"/>
      <c r="J72" s="5"/>
      <c r="K72" s="5"/>
      <c r="L72" s="5"/>
    </row>
    <row r="73" spans="1:12" ht="9" customHeight="1">
      <c r="A73" s="8"/>
      <c r="B73" s="207"/>
      <c r="C73" s="207"/>
      <c r="D73" s="207"/>
      <c r="E73" s="212"/>
      <c r="F73" s="207"/>
      <c r="G73" s="205"/>
      <c r="H73" s="205"/>
      <c r="I73" s="5"/>
      <c r="J73" s="5"/>
      <c r="K73" s="5"/>
      <c r="L73" s="5"/>
    </row>
    <row r="74" spans="1:12">
      <c r="A74" s="8"/>
      <c r="B74" s="213" t="s">
        <v>141</v>
      </c>
      <c r="C74" s="130"/>
      <c r="D74" s="130"/>
      <c r="E74" s="130"/>
      <c r="F74" s="130"/>
      <c r="G74" s="205"/>
      <c r="H74" s="205"/>
      <c r="I74" s="5"/>
      <c r="J74" s="5"/>
      <c r="K74" s="5"/>
      <c r="L74" s="5"/>
    </row>
    <row r="75" spans="1:12">
      <c r="A75" s="8"/>
      <c r="B75" s="130" t="s">
        <v>142</v>
      </c>
      <c r="C75" s="347" t="s">
        <v>143</v>
      </c>
      <c r="D75" s="130"/>
      <c r="E75" s="130" t="s">
        <v>144</v>
      </c>
      <c r="F75" s="186"/>
      <c r="G75" s="636" t="s">
        <v>143</v>
      </c>
      <c r="H75" s="637"/>
      <c r="I75" s="637"/>
      <c r="J75" s="638"/>
      <c r="K75" s="5"/>
      <c r="L75" s="5"/>
    </row>
    <row r="76" spans="1:12">
      <c r="A76" s="8"/>
      <c r="B76" s="214" t="s">
        <v>145</v>
      </c>
      <c r="C76" s="347" t="s">
        <v>143</v>
      </c>
      <c r="D76" s="215"/>
      <c r="E76" s="216" t="s">
        <v>146</v>
      </c>
      <c r="F76" s="130"/>
      <c r="G76" s="636" t="s">
        <v>147</v>
      </c>
      <c r="H76" s="637"/>
      <c r="I76" s="637"/>
      <c r="J76" s="638"/>
      <c r="K76" s="5"/>
      <c r="L76" s="5"/>
    </row>
    <row r="77" spans="1:12">
      <c r="A77" s="8"/>
      <c r="B77" s="214" t="s">
        <v>148</v>
      </c>
      <c r="C77" s="347" t="s">
        <v>143</v>
      </c>
      <c r="D77" s="216"/>
      <c r="E77" s="216" t="s">
        <v>149</v>
      </c>
      <c r="F77" s="217"/>
      <c r="G77" s="636" t="s">
        <v>143</v>
      </c>
      <c r="H77" s="637"/>
      <c r="I77" s="637"/>
      <c r="J77" s="638"/>
      <c r="K77" s="5"/>
      <c r="L77" s="5"/>
    </row>
    <row r="78" spans="1:12">
      <c r="A78" s="8"/>
      <c r="B78" s="639" t="s">
        <v>150</v>
      </c>
      <c r="C78" s="639"/>
      <c r="D78" s="640"/>
      <c r="E78" s="12"/>
      <c r="F78" s="215"/>
      <c r="G78" s="205"/>
      <c r="H78" s="205"/>
      <c r="I78" s="5"/>
      <c r="J78" s="5"/>
      <c r="K78" s="5"/>
      <c r="L78" s="5"/>
    </row>
    <row r="79" spans="1:12">
      <c r="A79" s="8"/>
      <c r="B79" s="214" t="s">
        <v>151</v>
      </c>
      <c r="C79" s="348" t="s">
        <v>143</v>
      </c>
      <c r="D79" s="216"/>
      <c r="E79" s="216"/>
      <c r="F79" s="216"/>
      <c r="G79" s="205"/>
      <c r="H79" s="205"/>
      <c r="I79" s="5"/>
      <c r="J79" s="5"/>
      <c r="K79" s="5"/>
      <c r="L79" s="5"/>
    </row>
    <row r="80" spans="1:12" ht="18.75" customHeight="1">
      <c r="A80" s="8"/>
      <c r="B80" s="213" t="s">
        <v>152</v>
      </c>
      <c r="C80" s="219"/>
      <c r="D80" s="219"/>
      <c r="E80" s="219"/>
      <c r="F80" s="219"/>
      <c r="G80" s="205"/>
      <c r="H80" s="205"/>
      <c r="I80" s="5"/>
      <c r="J80" s="5"/>
      <c r="K80" s="5"/>
      <c r="L80" s="5"/>
    </row>
    <row r="81" spans="1:12">
      <c r="A81" s="8"/>
      <c r="B81" s="216" t="s">
        <v>153</v>
      </c>
      <c r="C81" s="348"/>
      <c r="D81" s="214"/>
      <c r="E81" s="214" t="s">
        <v>155</v>
      </c>
      <c r="F81" s="348" t="s">
        <v>154</v>
      </c>
      <c r="G81" s="205"/>
      <c r="H81" s="205"/>
      <c r="I81" s="5"/>
      <c r="J81" s="5"/>
      <c r="K81" s="5"/>
      <c r="L81" s="5"/>
    </row>
    <row r="82" spans="1:12">
      <c r="A82" s="8"/>
      <c r="B82" s="216" t="s">
        <v>156</v>
      </c>
      <c r="C82" s="348"/>
      <c r="D82" s="216"/>
      <c r="E82" s="216" t="s">
        <v>158</v>
      </c>
      <c r="F82" s="348" t="s">
        <v>159</v>
      </c>
      <c r="G82" s="205"/>
      <c r="H82" s="205"/>
      <c r="I82" s="5"/>
      <c r="J82" s="5"/>
      <c r="K82" s="5"/>
      <c r="L82" s="5"/>
    </row>
    <row r="83" spans="1:12">
      <c r="A83" s="8"/>
      <c r="B83" s="216" t="s">
        <v>160</v>
      </c>
      <c r="C83" s="348"/>
      <c r="D83" s="216"/>
      <c r="E83" s="216" t="s">
        <v>162</v>
      </c>
      <c r="F83" s="348" t="s">
        <v>154</v>
      </c>
      <c r="G83" s="205"/>
      <c r="H83" s="205"/>
      <c r="I83" s="5"/>
      <c r="J83" s="5"/>
      <c r="K83" s="5"/>
      <c r="L83" s="5"/>
    </row>
    <row r="84" spans="1:12">
      <c r="A84" s="8"/>
      <c r="B84" s="205"/>
      <c r="C84" s="393"/>
      <c r="D84" s="393"/>
      <c r="E84" s="393"/>
      <c r="F84" s="393"/>
      <c r="G84" s="205"/>
      <c r="H84" s="205"/>
      <c r="I84" s="5"/>
      <c r="J84" s="5"/>
      <c r="K84" s="5"/>
      <c r="L84" s="5"/>
    </row>
    <row r="85" spans="1:12">
      <c r="A85" s="8"/>
      <c r="B85" s="214" t="s">
        <v>163</v>
      </c>
      <c r="C85" s="641" t="s">
        <v>367</v>
      </c>
      <c r="D85" s="642"/>
      <c r="E85" s="642"/>
      <c r="F85" s="643"/>
      <c r="G85" s="205"/>
      <c r="H85" s="205"/>
      <c r="I85" s="5"/>
      <c r="J85" s="5"/>
      <c r="K85" s="5"/>
      <c r="L85" s="5"/>
    </row>
    <row r="86" spans="1:12" ht="15" customHeight="1">
      <c r="A86" s="8"/>
      <c r="B86" s="203"/>
      <c r="C86" s="203"/>
      <c r="D86" s="203"/>
      <c r="E86" s="203"/>
      <c r="F86" s="203"/>
      <c r="G86" s="205"/>
      <c r="H86" s="205"/>
      <c r="I86" s="5"/>
      <c r="J86" s="5"/>
      <c r="K86" s="5"/>
      <c r="L86" s="5"/>
    </row>
    <row r="87" spans="1:12" ht="18" customHeight="1">
      <c r="B87" s="202"/>
      <c r="C87" s="202"/>
      <c r="D87" s="202"/>
      <c r="E87" s="202"/>
      <c r="F87" s="202"/>
      <c r="G87" s="202"/>
      <c r="H87" s="202"/>
      <c r="I87" s="202"/>
      <c r="J87" s="632"/>
      <c r="K87" s="632"/>
      <c r="L87" s="632"/>
    </row>
    <row r="88" spans="1:12" ht="18" customHeight="1">
      <c r="B88" s="188"/>
      <c r="C88" s="394" t="s">
        <v>166</v>
      </c>
      <c r="D88" s="395"/>
      <c r="E88" s="396"/>
      <c r="F88" s="12"/>
      <c r="G88" s="12"/>
      <c r="H88" s="182"/>
      <c r="I88" s="182"/>
      <c r="J88" s="632"/>
      <c r="K88" s="632"/>
      <c r="L88" s="632"/>
    </row>
    <row r="89" spans="1:12" ht="18" customHeight="1">
      <c r="B89" s="397"/>
      <c r="C89" s="398" t="s">
        <v>167</v>
      </c>
      <c r="D89" s="399"/>
      <c r="E89" s="12"/>
      <c r="F89" s="12"/>
      <c r="G89" s="12"/>
      <c r="H89" s="182"/>
      <c r="I89" s="182"/>
      <c r="J89" s="182"/>
      <c r="K89" s="5"/>
      <c r="L89" s="5"/>
    </row>
    <row r="90" spans="1:12" ht="18" customHeight="1">
      <c r="B90" s="352"/>
      <c r="C90" s="352"/>
      <c r="D90" s="352"/>
      <c r="E90" s="352"/>
      <c r="F90" s="352"/>
      <c r="G90" s="352"/>
      <c r="H90" s="352"/>
      <c r="I90" s="352"/>
      <c r="J90" s="352"/>
    </row>
    <row r="91" spans="1:12" ht="18" customHeight="1">
      <c r="B91" s="352"/>
      <c r="C91" s="352"/>
      <c r="D91" s="352"/>
      <c r="E91" s="352"/>
      <c r="F91" s="352"/>
      <c r="G91" s="352"/>
      <c r="H91" s="352"/>
      <c r="I91" s="352"/>
      <c r="J91" s="352"/>
    </row>
    <row r="92" spans="1:12" ht="18" customHeight="1">
      <c r="B92" s="352"/>
      <c r="C92" s="352"/>
      <c r="D92" s="352"/>
      <c r="E92" s="352"/>
      <c r="F92" s="352"/>
      <c r="G92" s="352"/>
      <c r="H92" s="352"/>
      <c r="I92" s="352"/>
      <c r="J92" s="352"/>
    </row>
    <row r="93" spans="1:12" ht="18" customHeight="1">
      <c r="B93" s="352"/>
      <c r="C93" s="352"/>
      <c r="D93" s="352"/>
      <c r="E93" s="352"/>
      <c r="F93" s="352"/>
      <c r="G93" s="352"/>
      <c r="H93" s="352"/>
      <c r="I93" s="352"/>
      <c r="J93" s="352"/>
    </row>
    <row r="94" spans="1:12" ht="18" customHeight="1">
      <c r="B94" s="352"/>
      <c r="C94" s="352"/>
      <c r="D94" s="352"/>
      <c r="E94" s="352"/>
      <c r="F94" s="352"/>
      <c r="G94" s="352"/>
      <c r="H94" s="352"/>
      <c r="I94" s="352"/>
      <c r="J94" s="352"/>
    </row>
    <row r="95" spans="1:12" ht="18" customHeight="1">
      <c r="B95" s="352"/>
      <c r="C95" s="352"/>
      <c r="D95" s="352"/>
      <c r="E95" s="352"/>
      <c r="F95" s="352"/>
      <c r="G95" s="352"/>
      <c r="H95" s="352"/>
      <c r="I95" s="352"/>
      <c r="J95" s="352"/>
    </row>
    <row r="96" spans="1:12">
      <c r="A96" s="8"/>
      <c r="B96" s="633"/>
      <c r="C96" s="633"/>
      <c r="D96" s="134"/>
      <c r="E96" s="134"/>
      <c r="F96" s="134"/>
      <c r="G96" s="111"/>
      <c r="H96" s="111"/>
    </row>
    <row r="97" spans="1:12">
      <c r="A97" s="8"/>
      <c r="B97" s="10"/>
      <c r="C97" s="10"/>
      <c r="D97" s="352"/>
      <c r="E97" s="352"/>
      <c r="F97" s="352"/>
      <c r="G97" s="352"/>
      <c r="H97" s="352"/>
      <c r="I97" s="352"/>
      <c r="J97" s="352"/>
    </row>
    <row r="98" spans="1:12">
      <c r="A98" s="8"/>
      <c r="B98" s="10"/>
      <c r="C98" s="10"/>
      <c r="D98" s="352"/>
      <c r="E98" s="352"/>
      <c r="F98" s="352"/>
      <c r="G98" s="352"/>
      <c r="H98" s="352"/>
      <c r="I98" s="352"/>
      <c r="J98" s="352"/>
    </row>
    <row r="99" spans="1:12">
      <c r="A99" s="8"/>
      <c r="B99" s="111"/>
      <c r="C99" s="111"/>
      <c r="D99" s="132"/>
      <c r="E99" s="132"/>
      <c r="F99" s="351"/>
      <c r="G99" s="351"/>
      <c r="H99" s="351"/>
      <c r="I99" s="351"/>
      <c r="J99" s="351"/>
      <c r="K99" s="351"/>
      <c r="L99" s="351"/>
    </row>
    <row r="100" spans="1:12">
      <c r="A100" s="8"/>
      <c r="B100" s="132"/>
      <c r="C100" s="132"/>
      <c r="D100" s="132"/>
      <c r="E100" s="132"/>
      <c r="F100" s="351"/>
      <c r="G100" s="351"/>
      <c r="H100" s="351"/>
      <c r="I100" s="351"/>
      <c r="J100" s="351"/>
      <c r="K100" s="351"/>
      <c r="L100" s="351"/>
    </row>
    <row r="101" spans="1:12">
      <c r="A101" s="8"/>
      <c r="B101" s="111"/>
      <c r="C101" s="111"/>
      <c r="D101" s="132"/>
      <c r="E101" s="132"/>
      <c r="F101" s="351"/>
      <c r="G101" s="351"/>
      <c r="H101" s="351"/>
      <c r="I101" s="351"/>
      <c r="J101" s="351"/>
      <c r="K101" s="351"/>
      <c r="L101" s="351"/>
    </row>
    <row r="102" spans="1:12">
      <c r="A102" s="8"/>
      <c r="B102" s="111"/>
      <c r="C102" s="120"/>
      <c r="D102" s="132"/>
      <c r="E102" s="132"/>
      <c r="F102" s="351"/>
      <c r="G102" s="351"/>
      <c r="H102" s="351"/>
      <c r="I102" s="351"/>
    </row>
    <row r="103" spans="1:12">
      <c r="A103" s="8"/>
      <c r="B103" s="111"/>
      <c r="C103" s="120"/>
      <c r="D103" s="120"/>
      <c r="E103" s="120"/>
      <c r="F103" s="120"/>
      <c r="G103" s="120"/>
      <c r="H103" s="111"/>
    </row>
    <row r="104" spans="1:12">
      <c r="A104" s="8"/>
      <c r="B104" s="61"/>
      <c r="C104" s="61"/>
      <c r="D104" s="61"/>
      <c r="E104" s="61"/>
      <c r="F104" s="61"/>
      <c r="G104" s="111"/>
      <c r="H104" s="111"/>
    </row>
    <row r="105" spans="1:12">
      <c r="A105" s="8"/>
      <c r="B105" s="61"/>
      <c r="C105" s="61"/>
      <c r="D105" s="61"/>
      <c r="E105" s="61"/>
      <c r="F105" s="61"/>
      <c r="G105" s="111"/>
      <c r="H105" s="111"/>
    </row>
    <row r="106" spans="1:12">
      <c r="B106" s="61"/>
      <c r="C106" s="61"/>
      <c r="D106" s="61"/>
      <c r="E106" s="61"/>
      <c r="F106" s="61"/>
      <c r="G106" s="111"/>
      <c r="H106" s="111"/>
    </row>
    <row r="107" spans="1:12">
      <c r="B107" s="139"/>
      <c r="C107" s="139"/>
      <c r="D107" s="139"/>
      <c r="E107" s="139"/>
      <c r="F107" s="139"/>
    </row>
    <row r="108" spans="1:12">
      <c r="B108" s="139"/>
      <c r="C108" s="139"/>
      <c r="D108" s="139"/>
      <c r="E108" s="139"/>
      <c r="F108" s="139"/>
    </row>
    <row r="113" spans="2:6">
      <c r="B113" s="634"/>
      <c r="C113" s="634"/>
      <c r="D113" s="634"/>
      <c r="E113" s="634"/>
      <c r="F113" s="634"/>
    </row>
  </sheetData>
  <mergeCells count="40">
    <mergeCell ref="B49:C49"/>
    <mergeCell ref="B78:D78"/>
    <mergeCell ref="C85:F85"/>
    <mergeCell ref="J87:L88"/>
    <mergeCell ref="B96:C96"/>
    <mergeCell ref="C64:E64"/>
    <mergeCell ref="B52:D52"/>
    <mergeCell ref="B53:D53"/>
    <mergeCell ref="B61:F61"/>
    <mergeCell ref="C63:E63"/>
    <mergeCell ref="K63:L63"/>
    <mergeCell ref="B113:F113"/>
    <mergeCell ref="C66:F66"/>
    <mergeCell ref="G75:J75"/>
    <mergeCell ref="G76:J76"/>
    <mergeCell ref="G77:J77"/>
    <mergeCell ref="C47:F47"/>
    <mergeCell ref="K17:L17"/>
    <mergeCell ref="J18:L18"/>
    <mergeCell ref="K21:L21"/>
    <mergeCell ref="B23:E23"/>
    <mergeCell ref="G23:L23"/>
    <mergeCell ref="D32:E32"/>
    <mergeCell ref="B37:E37"/>
    <mergeCell ref="J37:M37"/>
    <mergeCell ref="M41:N41"/>
    <mergeCell ref="M43:N43"/>
    <mergeCell ref="E16:F16"/>
    <mergeCell ref="K16:L16"/>
    <mergeCell ref="L8:M8"/>
    <mergeCell ref="E2:G2"/>
    <mergeCell ref="B3:L3"/>
    <mergeCell ref="C4:E4"/>
    <mergeCell ref="K4:M4"/>
    <mergeCell ref="C5:D5"/>
    <mergeCell ref="B7:F7"/>
    <mergeCell ref="J7:L7"/>
    <mergeCell ref="E8:F8"/>
    <mergeCell ref="E15:F15"/>
    <mergeCell ref="J15:L15"/>
  </mergeCells>
  <pageMargins left="0" right="0" top="0.74803149606299202" bottom="0" header="0.31496062992126" footer="0.31496062992126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Q64"/>
  <sheetViews>
    <sheetView view="pageLayout" topLeftCell="A34" zoomScaleNormal="100" workbookViewId="0">
      <selection activeCell="I21" sqref="I21:Q23"/>
    </sheetView>
  </sheetViews>
  <sheetFormatPr baseColWidth="10" defaultColWidth="11" defaultRowHeight="15"/>
  <cols>
    <col min="1" max="1" width="6.85546875" customWidth="1"/>
    <col min="2" max="2" width="12.85546875" customWidth="1"/>
    <col min="3" max="3" width="10.42578125" customWidth="1"/>
    <col min="4" max="4" width="9.42578125" customWidth="1"/>
    <col min="5" max="5" width="11.7109375" customWidth="1"/>
    <col min="6" max="6" width="15" customWidth="1"/>
    <col min="7" max="8" width="0.85546875" customWidth="1"/>
    <col min="9" max="9" width="4.85546875" customWidth="1"/>
    <col min="10" max="10" width="8" customWidth="1"/>
    <col min="11" max="11" width="5.140625" customWidth="1"/>
    <col min="12" max="12" width="4.85546875" hidden="1" customWidth="1"/>
    <col min="13" max="15" width="11" hidden="1" customWidth="1"/>
    <col min="16" max="16" width="5.5703125" customWidth="1"/>
  </cols>
  <sheetData>
    <row r="2" spans="1:17" ht="7.5" customHeight="1"/>
    <row r="3" spans="1:17" ht="22.5" customHeight="1">
      <c r="A3" s="213"/>
      <c r="B3" s="213"/>
      <c r="C3" s="698" t="s">
        <v>0</v>
      </c>
      <c r="D3" s="698"/>
      <c r="E3" s="698"/>
      <c r="F3" s="698"/>
      <c r="G3" s="698"/>
      <c r="H3" s="698"/>
      <c r="I3" s="698"/>
      <c r="J3" s="213"/>
      <c r="K3" s="213"/>
    </row>
    <row r="4" spans="1:17" ht="24" customHeight="1">
      <c r="A4" s="8"/>
      <c r="B4" s="423" t="s">
        <v>1</v>
      </c>
      <c r="C4" s="671"/>
      <c r="D4" s="671"/>
      <c r="E4" s="671"/>
      <c r="F4" s="423" t="s">
        <v>168</v>
      </c>
      <c r="G4" s="433"/>
      <c r="H4" s="423"/>
      <c r="I4" s="434"/>
      <c r="J4" s="6" t="s">
        <v>2</v>
      </c>
      <c r="K4" s="701">
        <v>45770</v>
      </c>
      <c r="L4" s="702"/>
      <c r="M4" s="702"/>
      <c r="N4" s="702"/>
      <c r="O4" s="702"/>
      <c r="P4" s="703"/>
      <c r="Q4" s="5"/>
    </row>
    <row r="5" spans="1:17" ht="15" customHeight="1">
      <c r="A5" s="8"/>
      <c r="B5" s="423" t="s">
        <v>3</v>
      </c>
      <c r="C5" s="671" t="s">
        <v>4</v>
      </c>
      <c r="D5" s="671"/>
      <c r="E5" s="671"/>
      <c r="F5" s="423" t="s">
        <v>169</v>
      </c>
      <c r="G5" s="423"/>
      <c r="H5" s="429"/>
      <c r="I5" s="434"/>
      <c r="J5" s="435"/>
      <c r="K5" s="5"/>
      <c r="L5" s="5"/>
      <c r="M5" s="5"/>
      <c r="N5" s="5"/>
      <c r="O5" s="5"/>
      <c r="P5" s="5"/>
      <c r="Q5" s="5"/>
    </row>
    <row r="6" spans="1:17" ht="9.75" customHeight="1">
      <c r="A6" s="8"/>
      <c r="B6" s="12"/>
      <c r="C6" s="185"/>
      <c r="D6" s="185"/>
      <c r="E6" s="12"/>
      <c r="F6" s="12"/>
      <c r="G6" s="12"/>
      <c r="H6" s="14"/>
      <c r="I6" s="5"/>
      <c r="J6" s="151"/>
      <c r="K6" s="5"/>
      <c r="L6" s="5"/>
      <c r="M6" s="5"/>
      <c r="N6" s="5"/>
      <c r="O6" s="5"/>
      <c r="P6" s="5"/>
      <c r="Q6" s="5"/>
    </row>
    <row r="7" spans="1:17" ht="14.25" customHeight="1">
      <c r="A7" s="8"/>
      <c r="B7" s="424"/>
      <c r="C7" s="706" t="s">
        <v>5</v>
      </c>
      <c r="D7" s="706"/>
      <c r="E7" s="706"/>
      <c r="F7" s="436"/>
      <c r="G7" s="424"/>
      <c r="H7" s="431"/>
      <c r="I7" s="434"/>
      <c r="J7" s="436"/>
      <c r="K7" s="436"/>
      <c r="L7" s="436"/>
      <c r="M7" s="434"/>
      <c r="N7" s="434"/>
      <c r="O7" s="434"/>
      <c r="P7" s="434"/>
      <c r="Q7" s="434"/>
    </row>
    <row r="8" spans="1:17" ht="15.75" customHeight="1">
      <c r="A8" s="8"/>
      <c r="B8" s="424"/>
      <c r="C8" s="424"/>
      <c r="D8" s="424"/>
      <c r="E8" s="424"/>
      <c r="F8" s="424"/>
      <c r="G8" s="424"/>
      <c r="H8" s="431"/>
      <c r="I8" s="434"/>
      <c r="J8" s="431"/>
      <c r="K8" s="429"/>
      <c r="L8" s="437"/>
      <c r="M8" s="434"/>
      <c r="N8" s="434"/>
      <c r="O8" s="434"/>
      <c r="P8" s="682" t="s">
        <v>8</v>
      </c>
      <c r="Q8" s="682"/>
    </row>
    <row r="9" spans="1:17" ht="17.25" customHeight="1">
      <c r="A9" s="8"/>
      <c r="B9" s="424"/>
      <c r="C9" s="424"/>
      <c r="D9" s="424"/>
      <c r="E9" s="693" t="s">
        <v>7</v>
      </c>
      <c r="F9" s="693"/>
      <c r="G9" s="424"/>
      <c r="H9" s="431"/>
      <c r="I9" s="429" t="s">
        <v>11</v>
      </c>
      <c r="J9" s="429"/>
      <c r="K9" s="438"/>
      <c r="L9" s="439" t="s">
        <v>12</v>
      </c>
      <c r="M9" s="438">
        <v>8</v>
      </c>
      <c r="N9" s="439" t="s">
        <v>12</v>
      </c>
      <c r="O9" s="438">
        <v>8</v>
      </c>
      <c r="P9" s="439" t="s">
        <v>12</v>
      </c>
      <c r="Q9" s="424" t="s">
        <v>13</v>
      </c>
    </row>
    <row r="10" spans="1:17" ht="20.25" customHeight="1">
      <c r="A10" s="8"/>
      <c r="B10" s="440"/>
      <c r="C10" s="440"/>
      <c r="D10" s="440"/>
      <c r="E10" s="441" t="s">
        <v>9</v>
      </c>
      <c r="F10" s="441" t="s">
        <v>10</v>
      </c>
      <c r="G10" s="424"/>
      <c r="H10" s="431"/>
      <c r="I10" s="429" t="s">
        <v>15</v>
      </c>
      <c r="J10" s="429"/>
      <c r="K10" s="438"/>
      <c r="L10" s="439" t="s">
        <v>12</v>
      </c>
      <c r="M10" s="438">
        <v>2</v>
      </c>
      <c r="N10" s="439" t="s">
        <v>12</v>
      </c>
      <c r="O10" s="438">
        <v>2</v>
      </c>
      <c r="P10" s="439" t="s">
        <v>12</v>
      </c>
      <c r="Q10" s="424" t="s">
        <v>16</v>
      </c>
    </row>
    <row r="11" spans="1:17" ht="18" customHeight="1">
      <c r="A11" s="8"/>
      <c r="B11" s="387" t="s">
        <v>337</v>
      </c>
      <c r="C11" s="442">
        <f>107000*C13</f>
        <v>0</v>
      </c>
      <c r="D11" s="387" t="s">
        <v>14</v>
      </c>
      <c r="E11" s="443" t="s">
        <v>370</v>
      </c>
      <c r="F11" s="444" t="s">
        <v>371</v>
      </c>
      <c r="G11" s="431"/>
      <c r="H11" s="431"/>
      <c r="I11" s="429" t="s">
        <v>18</v>
      </c>
      <c r="J11" s="429"/>
      <c r="K11" s="438"/>
      <c r="L11" s="439" t="s">
        <v>19</v>
      </c>
      <c r="M11" s="438">
        <v>12</v>
      </c>
      <c r="N11" s="439" t="s">
        <v>19</v>
      </c>
      <c r="O11" s="438">
        <v>12</v>
      </c>
      <c r="P11" s="439" t="s">
        <v>19</v>
      </c>
      <c r="Q11" s="424" t="s">
        <v>20</v>
      </c>
    </row>
    <row r="12" spans="1:17" ht="14.25" customHeight="1">
      <c r="A12" s="8"/>
      <c r="B12" s="387" t="s">
        <v>338</v>
      </c>
      <c r="C12" s="445"/>
      <c r="D12" s="387" t="s">
        <v>14</v>
      </c>
      <c r="E12" s="444" t="s">
        <v>17</v>
      </c>
      <c r="F12" s="444" t="s">
        <v>17</v>
      </c>
      <c r="G12" s="431"/>
      <c r="H12" s="431"/>
      <c r="I12" s="429" t="s">
        <v>24</v>
      </c>
      <c r="J12" s="429"/>
      <c r="K12" s="438"/>
      <c r="L12" s="439" t="s">
        <v>21</v>
      </c>
      <c r="M12" s="438">
        <v>100</v>
      </c>
      <c r="N12" s="439" t="s">
        <v>21</v>
      </c>
      <c r="O12" s="438">
        <v>100</v>
      </c>
      <c r="P12" s="439" t="s">
        <v>21</v>
      </c>
      <c r="Q12" s="424" t="s">
        <v>25</v>
      </c>
    </row>
    <row r="13" spans="1:17" ht="14.25" customHeight="1">
      <c r="A13" s="8"/>
      <c r="B13" s="387" t="s">
        <v>334</v>
      </c>
      <c r="C13" s="445" t="s">
        <v>341</v>
      </c>
      <c r="D13" s="387" t="s">
        <v>21</v>
      </c>
      <c r="E13" s="444" t="s">
        <v>22</v>
      </c>
      <c r="F13" s="444" t="s">
        <v>23</v>
      </c>
      <c r="G13" s="431"/>
      <c r="H13" s="431"/>
      <c r="I13" s="423" t="s">
        <v>29</v>
      </c>
      <c r="J13" s="423"/>
      <c r="K13" s="438"/>
      <c r="L13" s="446"/>
      <c r="M13" s="438" t="s">
        <v>30</v>
      </c>
      <c r="N13" s="446"/>
      <c r="O13" s="438" t="s">
        <v>30</v>
      </c>
      <c r="P13" s="446"/>
      <c r="Q13" s="427"/>
    </row>
    <row r="14" spans="1:17" ht="14.25" customHeight="1">
      <c r="A14" s="8"/>
      <c r="B14" s="387" t="s">
        <v>335</v>
      </c>
      <c r="C14" s="447">
        <f>0.32*C13</f>
        <v>0</v>
      </c>
      <c r="D14" s="387" t="s">
        <v>26</v>
      </c>
      <c r="E14" s="444" t="s">
        <v>27</v>
      </c>
      <c r="F14" s="444" t="s">
        <v>28</v>
      </c>
      <c r="G14" s="431"/>
      <c r="H14" s="431"/>
      <c r="I14" s="430" t="s">
        <v>35</v>
      </c>
      <c r="J14" s="430"/>
      <c r="K14" s="438"/>
      <c r="L14" s="448" t="s">
        <v>19</v>
      </c>
      <c r="M14" s="438"/>
      <c r="N14" s="448" t="s">
        <v>19</v>
      </c>
      <c r="O14" s="438"/>
      <c r="P14" s="448" t="s">
        <v>19</v>
      </c>
      <c r="Q14" s="428" t="s">
        <v>36</v>
      </c>
    </row>
    <row r="15" spans="1:17" ht="14.25" customHeight="1">
      <c r="A15" s="8"/>
      <c r="B15" s="387" t="s">
        <v>31</v>
      </c>
      <c r="C15" s="445"/>
      <c r="D15" s="387" t="s">
        <v>32</v>
      </c>
      <c r="E15" s="445" t="s">
        <v>33</v>
      </c>
      <c r="F15" s="445" t="s">
        <v>34</v>
      </c>
      <c r="G15" s="431"/>
      <c r="H15" s="431"/>
      <c r="I15" s="434"/>
      <c r="J15" s="431"/>
      <c r="K15" s="437"/>
      <c r="L15" s="449"/>
      <c r="M15" s="434"/>
      <c r="N15" s="434"/>
      <c r="O15" s="434"/>
      <c r="P15" s="434"/>
      <c r="Q15" s="434"/>
    </row>
    <row r="16" spans="1:17" ht="14.25" customHeight="1">
      <c r="A16" s="8"/>
      <c r="B16" s="387" t="s">
        <v>37</v>
      </c>
      <c r="C16" s="445"/>
      <c r="D16" s="387" t="s">
        <v>38</v>
      </c>
      <c r="E16" s="704" t="s">
        <v>39</v>
      </c>
      <c r="F16" s="705"/>
      <c r="G16" s="431"/>
      <c r="H16" s="431"/>
      <c r="I16" s="434"/>
      <c r="J16" s="450" t="s">
        <v>41</v>
      </c>
      <c r="K16" s="450"/>
      <c r="L16" s="450"/>
      <c r="M16" s="451"/>
      <c r="N16" s="451"/>
      <c r="O16" s="434"/>
      <c r="P16" s="434"/>
      <c r="Q16" s="434"/>
    </row>
    <row r="17" spans="1:17" ht="13.5" customHeight="1">
      <c r="A17" s="8"/>
      <c r="B17" s="431"/>
      <c r="C17" s="431"/>
      <c r="D17" s="452"/>
      <c r="E17" s="414"/>
      <c r="F17" s="431"/>
      <c r="G17" s="431"/>
      <c r="H17" s="431"/>
      <c r="I17" s="690" t="s">
        <v>330</v>
      </c>
      <c r="J17" s="690"/>
      <c r="K17" s="683"/>
      <c r="L17" s="683"/>
      <c r="M17" s="683"/>
      <c r="N17" s="683"/>
      <c r="O17" s="683"/>
      <c r="P17" s="683"/>
      <c r="Q17" s="434"/>
    </row>
    <row r="18" spans="1:17" ht="16.5" customHeight="1">
      <c r="A18" s="8"/>
      <c r="B18" s="387"/>
      <c r="C18" s="387"/>
      <c r="D18" s="445"/>
      <c r="E18" s="694" t="s">
        <v>40</v>
      </c>
      <c r="F18" s="695"/>
      <c r="G18" s="431"/>
      <c r="H18" s="431"/>
      <c r="I18" s="690" t="s">
        <v>47</v>
      </c>
      <c r="J18" s="690"/>
      <c r="K18" s="697"/>
      <c r="L18" s="697"/>
      <c r="M18" s="697"/>
      <c r="N18" s="697"/>
      <c r="O18" s="697"/>
      <c r="P18" s="697"/>
      <c r="Q18" s="434"/>
    </row>
    <row r="19" spans="1:17" ht="13.5" customHeight="1">
      <c r="A19" s="8"/>
      <c r="B19" s="387" t="s">
        <v>42</v>
      </c>
      <c r="C19" s="453">
        <v>0</v>
      </c>
      <c r="D19" s="454">
        <f>(C19*C12)</f>
        <v>0</v>
      </c>
      <c r="E19" s="455" t="s">
        <v>14</v>
      </c>
      <c r="F19" s="444" t="s">
        <v>43</v>
      </c>
      <c r="G19" s="431"/>
      <c r="H19" s="431"/>
      <c r="I19" s="434"/>
      <c r="J19" s="456"/>
      <c r="K19" s="456"/>
      <c r="L19" s="457"/>
      <c r="M19" s="434"/>
      <c r="N19" s="434"/>
      <c r="O19" s="434"/>
      <c r="P19" s="434"/>
      <c r="Q19" s="434"/>
    </row>
    <row r="20" spans="1:17" ht="16.5">
      <c r="A20" s="8"/>
      <c r="B20" s="387" t="s">
        <v>45</v>
      </c>
      <c r="C20" s="458">
        <v>0</v>
      </c>
      <c r="D20" s="454">
        <f>(C20*C12)</f>
        <v>0</v>
      </c>
      <c r="E20" s="455" t="s">
        <v>14</v>
      </c>
      <c r="F20" s="444" t="s">
        <v>46</v>
      </c>
      <c r="G20" s="431"/>
      <c r="H20" s="431"/>
      <c r="I20" s="688" t="s">
        <v>215</v>
      </c>
      <c r="J20" s="688"/>
      <c r="K20" s="688"/>
      <c r="L20" s="688"/>
      <c r="M20" s="688"/>
      <c r="N20" s="688"/>
      <c r="O20" s="688"/>
      <c r="P20" s="688"/>
      <c r="Q20" s="688"/>
    </row>
    <row r="21" spans="1:17" ht="15.75" customHeight="1">
      <c r="A21" s="8"/>
      <c r="B21" s="387" t="s">
        <v>48</v>
      </c>
      <c r="C21" s="458">
        <v>0</v>
      </c>
      <c r="D21" s="454">
        <f>(C21*C12)</f>
        <v>0</v>
      </c>
      <c r="E21" s="455" t="s">
        <v>14</v>
      </c>
      <c r="F21" s="444" t="s">
        <v>49</v>
      </c>
      <c r="G21" s="431"/>
      <c r="H21" s="431"/>
      <c r="I21" s="687" t="s">
        <v>217</v>
      </c>
      <c r="J21" s="687"/>
      <c r="K21" s="689" t="s">
        <v>325</v>
      </c>
      <c r="L21" s="690"/>
      <c r="M21" s="690"/>
      <c r="N21" s="690"/>
      <c r="O21" s="690"/>
      <c r="P21" s="690"/>
      <c r="Q21" s="690"/>
    </row>
    <row r="22" spans="1:17" ht="16.5">
      <c r="A22" s="8"/>
      <c r="B22" s="387" t="s">
        <v>50</v>
      </c>
      <c r="C22" s="458">
        <v>0</v>
      </c>
      <c r="D22" s="454">
        <f>(C22*C12)</f>
        <v>0</v>
      </c>
      <c r="E22" s="455" t="s">
        <v>14</v>
      </c>
      <c r="F22" s="445" t="s">
        <v>51</v>
      </c>
      <c r="G22" s="431"/>
      <c r="H22" s="431"/>
      <c r="I22" s="687" t="s">
        <v>280</v>
      </c>
      <c r="J22" s="687"/>
      <c r="K22" s="689" t="s">
        <v>243</v>
      </c>
      <c r="L22" s="691"/>
      <c r="M22" s="691"/>
      <c r="N22" s="691"/>
      <c r="O22" s="691"/>
      <c r="P22" s="691"/>
      <c r="Q22" s="434"/>
    </row>
    <row r="23" spans="1:17" ht="16.5">
      <c r="A23" s="8"/>
      <c r="B23" s="387" t="s">
        <v>54</v>
      </c>
      <c r="C23" s="458">
        <v>0</v>
      </c>
      <c r="D23" s="454">
        <f>(C23*C12)</f>
        <v>0</v>
      </c>
      <c r="E23" s="455" t="s">
        <v>14</v>
      </c>
      <c r="F23" s="387"/>
      <c r="G23" s="431"/>
      <c r="H23" s="431"/>
      <c r="I23" s="687" t="s">
        <v>52</v>
      </c>
      <c r="J23" s="687"/>
      <c r="K23" s="434"/>
      <c r="L23" s="434"/>
      <c r="M23" s="434"/>
      <c r="N23" s="434"/>
      <c r="O23" s="434"/>
      <c r="P23" s="434"/>
      <c r="Q23" s="434"/>
    </row>
    <row r="24" spans="1:17" ht="4.5" customHeight="1">
      <c r="A24" s="8"/>
      <c r="B24" s="431"/>
      <c r="C24" s="431"/>
      <c r="D24" s="424"/>
      <c r="E24" s="431"/>
      <c r="F24" s="431"/>
      <c r="G24" s="431"/>
      <c r="H24" s="431"/>
      <c r="I24" s="434"/>
      <c r="J24" s="434"/>
      <c r="K24" s="434"/>
      <c r="L24" s="434"/>
      <c r="M24" s="434"/>
      <c r="N24" s="434"/>
      <c r="O24" s="434"/>
      <c r="P24" s="434"/>
      <c r="Q24" s="434"/>
    </row>
    <row r="25" spans="1:17" ht="16.5">
      <c r="A25" s="8"/>
      <c r="B25" s="667" t="s">
        <v>55</v>
      </c>
      <c r="C25" s="667"/>
      <c r="D25" s="667"/>
      <c r="E25" s="436"/>
      <c r="F25" s="667" t="s">
        <v>56</v>
      </c>
      <c r="G25" s="667"/>
      <c r="H25" s="667"/>
      <c r="I25" s="667"/>
      <c r="J25" s="667"/>
      <c r="K25" s="667"/>
      <c r="L25" s="434"/>
      <c r="M25" s="434"/>
      <c r="N25" s="434"/>
      <c r="O25" s="434"/>
      <c r="P25" s="434"/>
      <c r="Q25" s="434"/>
    </row>
    <row r="26" spans="1:17" ht="6" customHeight="1">
      <c r="A26" s="8"/>
      <c r="B26" s="413"/>
      <c r="C26" s="413"/>
      <c r="D26" s="413"/>
      <c r="E26" s="436"/>
      <c r="F26" s="413"/>
      <c r="G26" s="413"/>
      <c r="H26" s="413"/>
      <c r="I26" s="413"/>
      <c r="J26" s="413"/>
      <c r="K26" s="413"/>
      <c r="L26" s="434"/>
      <c r="M26" s="434"/>
      <c r="N26" s="434"/>
      <c r="O26" s="434"/>
      <c r="P26" s="434"/>
      <c r="Q26" s="434"/>
    </row>
    <row r="27" spans="1:17" ht="16.5">
      <c r="A27" s="8"/>
      <c r="B27" s="429" t="s">
        <v>57</v>
      </c>
      <c r="C27" s="459" t="s">
        <v>58</v>
      </c>
      <c r="D27" s="460" t="s">
        <v>59</v>
      </c>
      <c r="E27" s="434"/>
      <c r="F27" s="429" t="s">
        <v>60</v>
      </c>
      <c r="G27" s="692"/>
      <c r="H27" s="692"/>
      <c r="I27" s="692"/>
      <c r="J27" s="461" t="s">
        <v>61</v>
      </c>
      <c r="K27" s="462" t="s">
        <v>62</v>
      </c>
      <c r="L27" s="434"/>
      <c r="M27" s="434"/>
      <c r="N27" s="434"/>
      <c r="O27" s="434"/>
      <c r="P27" s="434"/>
      <c r="Q27" s="434"/>
    </row>
    <row r="28" spans="1:17" ht="3.75" customHeight="1">
      <c r="A28" s="8"/>
      <c r="B28" s="432" t="s">
        <v>45</v>
      </c>
      <c r="C28" s="463">
        <v>0.56999999999999995</v>
      </c>
      <c r="D28" s="464" t="s">
        <v>46</v>
      </c>
      <c r="E28" s="434"/>
      <c r="F28" s="429"/>
      <c r="G28" s="465"/>
      <c r="H28" s="437"/>
      <c r="I28" s="437"/>
      <c r="J28" s="466"/>
      <c r="K28" s="462"/>
      <c r="L28" s="434"/>
      <c r="M28" s="434"/>
      <c r="N28" s="434"/>
      <c r="O28" s="434"/>
      <c r="P28" s="434"/>
      <c r="Q28" s="434">
        <v>0</v>
      </c>
    </row>
    <row r="29" spans="1:17" ht="16.5">
      <c r="A29" s="8"/>
      <c r="B29" s="429" t="s">
        <v>63</v>
      </c>
      <c r="C29" s="467" t="s">
        <v>58</v>
      </c>
      <c r="D29" s="414" t="s">
        <v>64</v>
      </c>
      <c r="E29" s="434"/>
      <c r="F29" s="429" t="s">
        <v>65</v>
      </c>
      <c r="G29" s="692"/>
      <c r="H29" s="692"/>
      <c r="I29" s="692"/>
      <c r="J29" s="461" t="s">
        <v>61</v>
      </c>
      <c r="K29" s="462" t="s">
        <v>66</v>
      </c>
      <c r="L29" s="434"/>
      <c r="M29" s="434"/>
      <c r="N29" s="434"/>
      <c r="O29" s="434"/>
      <c r="P29" s="434"/>
      <c r="Q29" s="434"/>
    </row>
    <row r="30" spans="1:17" ht="6" customHeight="1">
      <c r="A30" s="8"/>
      <c r="B30" s="432" t="s">
        <v>50</v>
      </c>
      <c r="C30" s="463">
        <v>0.01</v>
      </c>
      <c r="D30" s="468" t="s">
        <v>51</v>
      </c>
      <c r="E30" s="434"/>
      <c r="F30" s="429"/>
      <c r="G30" s="465"/>
      <c r="H30" s="437"/>
      <c r="I30" s="437"/>
      <c r="J30" s="466"/>
      <c r="K30" s="462"/>
      <c r="L30" s="434"/>
      <c r="M30" s="434"/>
      <c r="N30" s="434"/>
      <c r="O30" s="434"/>
      <c r="P30" s="434"/>
      <c r="Q30" s="434"/>
    </row>
    <row r="31" spans="1:17" ht="16.5">
      <c r="A31" s="8"/>
      <c r="B31" s="429" t="s">
        <v>67</v>
      </c>
      <c r="C31" s="467" t="s">
        <v>58</v>
      </c>
      <c r="D31" s="414" t="s">
        <v>68</v>
      </c>
      <c r="E31" s="434"/>
      <c r="F31" s="429" t="s">
        <v>69</v>
      </c>
      <c r="G31" s="692"/>
      <c r="H31" s="692"/>
      <c r="I31" s="692"/>
      <c r="J31" s="461" t="s">
        <v>61</v>
      </c>
      <c r="K31" s="462" t="s">
        <v>70</v>
      </c>
      <c r="L31" s="434"/>
      <c r="M31" s="434"/>
      <c r="N31" s="434"/>
      <c r="O31" s="434"/>
      <c r="P31" s="434"/>
      <c r="Q31" s="434"/>
    </row>
    <row r="32" spans="1:17" ht="6" customHeight="1">
      <c r="A32" s="8"/>
      <c r="B32" s="429"/>
      <c r="C32" s="431"/>
      <c r="D32" s="414"/>
      <c r="E32" s="434"/>
      <c r="F32" s="429"/>
      <c r="G32" s="465"/>
      <c r="H32" s="437"/>
      <c r="I32" s="437"/>
      <c r="J32" s="466"/>
      <c r="K32" s="462"/>
      <c r="L32" s="434"/>
      <c r="M32" s="434"/>
      <c r="N32" s="434"/>
      <c r="O32" s="434"/>
      <c r="P32" s="434"/>
      <c r="Q32" s="434"/>
    </row>
    <row r="33" spans="1:17" ht="16.5">
      <c r="A33" s="8"/>
      <c r="B33" s="429" t="s">
        <v>71</v>
      </c>
      <c r="C33" s="469" t="s">
        <v>58</v>
      </c>
      <c r="D33" s="414" t="s">
        <v>72</v>
      </c>
      <c r="E33" s="434"/>
      <c r="F33" s="429" t="s">
        <v>73</v>
      </c>
      <c r="G33" s="692"/>
      <c r="H33" s="692"/>
      <c r="I33" s="692"/>
      <c r="J33" s="461" t="s">
        <v>58</v>
      </c>
      <c r="K33" s="462" t="s">
        <v>74</v>
      </c>
      <c r="L33" s="434"/>
      <c r="M33" s="434"/>
      <c r="N33" s="434"/>
      <c r="O33" s="434"/>
      <c r="P33" s="434"/>
      <c r="Q33" s="434"/>
    </row>
    <row r="34" spans="1:17" ht="5.25" customHeight="1">
      <c r="A34" s="8"/>
      <c r="B34" s="432"/>
      <c r="C34" s="696" t="s">
        <v>41</v>
      </c>
      <c r="D34" s="696"/>
      <c r="E34" s="434"/>
      <c r="F34" s="429"/>
      <c r="G34" s="465"/>
      <c r="H34" s="437"/>
      <c r="I34" s="437"/>
      <c r="J34" s="466"/>
      <c r="K34" s="462"/>
      <c r="L34" s="434"/>
      <c r="M34" s="434"/>
      <c r="N34" s="434"/>
      <c r="O34" s="434"/>
      <c r="P34" s="434"/>
      <c r="Q34" s="434"/>
    </row>
    <row r="35" spans="1:17" ht="16.5">
      <c r="A35" s="8"/>
      <c r="B35" s="429" t="s">
        <v>75</v>
      </c>
      <c r="C35" s="470" t="s">
        <v>58</v>
      </c>
      <c r="D35" s="414" t="s">
        <v>76</v>
      </c>
      <c r="E35" s="434"/>
      <c r="F35" s="429" t="s">
        <v>77</v>
      </c>
      <c r="G35" s="683"/>
      <c r="H35" s="683"/>
      <c r="I35" s="683"/>
      <c r="J35" s="471" t="s">
        <v>58</v>
      </c>
      <c r="K35" s="462" t="s">
        <v>78</v>
      </c>
      <c r="L35" s="434"/>
      <c r="M35" s="434"/>
      <c r="N35" s="434"/>
      <c r="O35" s="434"/>
      <c r="P35" s="434"/>
      <c r="Q35" s="434"/>
    </row>
    <row r="36" spans="1:17" ht="5.25" customHeight="1">
      <c r="A36" s="8"/>
      <c r="B36" s="429"/>
      <c r="C36" s="437"/>
      <c r="D36" s="414"/>
      <c r="E36" s="434"/>
      <c r="F36" s="429"/>
      <c r="G36" s="465"/>
      <c r="H36" s="437"/>
      <c r="I36" s="437"/>
      <c r="J36" s="466"/>
      <c r="K36" s="462"/>
      <c r="L36" s="434"/>
      <c r="M36" s="434"/>
      <c r="N36" s="434"/>
      <c r="O36" s="434"/>
      <c r="P36" s="434"/>
      <c r="Q36" s="434"/>
    </row>
    <row r="37" spans="1:17" ht="16.5">
      <c r="A37" s="8"/>
      <c r="B37" s="429" t="s">
        <v>79</v>
      </c>
      <c r="C37" s="469" t="s">
        <v>21</v>
      </c>
      <c r="D37" s="414" t="s">
        <v>170</v>
      </c>
      <c r="E37" s="434"/>
      <c r="F37" s="429" t="s">
        <v>81</v>
      </c>
      <c r="G37" s="687"/>
      <c r="H37" s="687"/>
      <c r="I37" s="687"/>
      <c r="J37" s="471" t="s">
        <v>58</v>
      </c>
      <c r="K37" s="462" t="s">
        <v>82</v>
      </c>
      <c r="L37" s="434"/>
      <c r="M37" s="434"/>
      <c r="N37" s="434"/>
      <c r="O37" s="434"/>
      <c r="P37" s="434"/>
      <c r="Q37" s="434"/>
    </row>
    <row r="38" spans="1:17" ht="11.25" customHeight="1">
      <c r="A38" s="8"/>
      <c r="B38" s="431"/>
      <c r="C38" s="431"/>
      <c r="D38" s="414"/>
      <c r="E38" s="434"/>
      <c r="F38" s="431"/>
      <c r="G38" s="472"/>
      <c r="H38" s="431"/>
      <c r="I38" s="431"/>
      <c r="J38" s="434"/>
      <c r="K38" s="462"/>
      <c r="L38" s="434"/>
      <c r="M38" s="434"/>
      <c r="N38" s="434"/>
      <c r="O38" s="434"/>
      <c r="P38" s="434"/>
      <c r="Q38" s="434"/>
    </row>
    <row r="39" spans="1:17" ht="2.25" customHeight="1">
      <c r="A39" s="8"/>
      <c r="B39" s="431"/>
      <c r="C39" s="437"/>
      <c r="D39" s="414"/>
      <c r="E39" s="431"/>
      <c r="F39" s="437"/>
      <c r="G39" s="431"/>
      <c r="H39" s="431"/>
      <c r="I39" s="434"/>
      <c r="J39" s="434"/>
      <c r="K39" s="434"/>
      <c r="L39" s="434"/>
      <c r="M39" s="434"/>
      <c r="N39" s="434"/>
      <c r="O39" s="434"/>
      <c r="P39" s="434"/>
      <c r="Q39" s="434"/>
    </row>
    <row r="40" spans="1:17" ht="14.25" customHeight="1">
      <c r="A40" s="8"/>
      <c r="B40" s="667" t="s">
        <v>171</v>
      </c>
      <c r="C40" s="667"/>
      <c r="D40" s="667"/>
      <c r="E40" s="431"/>
      <c r="F40" s="667" t="s">
        <v>172</v>
      </c>
      <c r="G40" s="667"/>
      <c r="H40" s="667"/>
      <c r="I40" s="667"/>
      <c r="J40" s="667"/>
      <c r="K40" s="76"/>
      <c r="L40" s="434"/>
      <c r="M40" s="434"/>
      <c r="N40" s="434"/>
      <c r="O40" s="434"/>
      <c r="P40" s="434"/>
      <c r="Q40" s="434"/>
    </row>
    <row r="41" spans="1:17" ht="5.25" customHeight="1">
      <c r="A41" s="8"/>
      <c r="B41" s="431"/>
      <c r="C41" s="437"/>
      <c r="D41" s="414"/>
      <c r="E41" s="431"/>
      <c r="F41" s="437"/>
      <c r="G41" s="431"/>
      <c r="H41" s="431"/>
      <c r="I41" s="76"/>
      <c r="J41" s="76"/>
      <c r="K41" s="76"/>
      <c r="L41" s="434"/>
      <c r="M41" s="434"/>
      <c r="N41" s="434"/>
      <c r="O41" s="434"/>
      <c r="P41" s="434"/>
      <c r="Q41" s="434"/>
    </row>
    <row r="42" spans="1:17" ht="14.25" customHeight="1">
      <c r="A42" s="8"/>
      <c r="B42" s="429" t="s">
        <v>173</v>
      </c>
      <c r="C42" s="469" t="s">
        <v>58</v>
      </c>
      <c r="D42" s="685" t="s">
        <v>174</v>
      </c>
      <c r="E42" s="686"/>
      <c r="F42" s="429" t="s">
        <v>175</v>
      </c>
      <c r="G42" s="683">
        <v>0</v>
      </c>
      <c r="H42" s="683"/>
      <c r="I42" s="683"/>
      <c r="J42" s="473" t="s">
        <v>176</v>
      </c>
      <c r="K42" s="699" t="s">
        <v>177</v>
      </c>
      <c r="L42" s="700"/>
      <c r="M42" s="700"/>
      <c r="N42" s="700"/>
      <c r="O42" s="700"/>
      <c r="P42" s="700"/>
      <c r="Q42" s="434"/>
    </row>
    <row r="43" spans="1:17" ht="5.25" customHeight="1">
      <c r="A43" s="8"/>
      <c r="B43" s="429"/>
      <c r="C43" s="437"/>
      <c r="D43" s="424"/>
      <c r="E43" s="424"/>
      <c r="F43" s="429"/>
      <c r="G43" s="431"/>
      <c r="H43" s="431"/>
      <c r="I43" s="434"/>
      <c r="J43" s="465"/>
      <c r="K43" s="474"/>
      <c r="L43" s="475"/>
      <c r="M43" s="475"/>
      <c r="N43" s="475"/>
      <c r="O43" s="475"/>
      <c r="P43" s="475"/>
      <c r="Q43" s="434"/>
    </row>
    <row r="44" spans="1:17" ht="16.5">
      <c r="A44" s="8"/>
      <c r="B44" s="429" t="s">
        <v>178</v>
      </c>
      <c r="C44" s="469" t="s">
        <v>58</v>
      </c>
      <c r="D44" s="685" t="s">
        <v>179</v>
      </c>
      <c r="E44" s="686"/>
      <c r="F44" s="429" t="s">
        <v>180</v>
      </c>
      <c r="G44" s="683">
        <v>0</v>
      </c>
      <c r="H44" s="683"/>
      <c r="I44" s="683"/>
      <c r="J44" s="473" t="s">
        <v>176</v>
      </c>
      <c r="K44" s="699" t="s">
        <v>66</v>
      </c>
      <c r="L44" s="700"/>
      <c r="M44" s="700"/>
      <c r="N44" s="700"/>
      <c r="O44" s="700"/>
      <c r="P44" s="700"/>
      <c r="Q44" s="434"/>
    </row>
    <row r="45" spans="1:17" ht="5.25" customHeight="1">
      <c r="A45" s="8"/>
      <c r="B45" s="429"/>
      <c r="C45" s="431"/>
      <c r="D45" s="424"/>
      <c r="E45" s="513"/>
      <c r="F45" s="429"/>
      <c r="G45" s="431"/>
      <c r="H45" s="431"/>
      <c r="I45" s="434"/>
      <c r="J45" s="472"/>
      <c r="K45" s="474"/>
      <c r="L45" s="475"/>
      <c r="M45" s="475"/>
      <c r="N45" s="475"/>
      <c r="O45" s="475"/>
      <c r="P45" s="475"/>
      <c r="Q45" s="434"/>
    </row>
    <row r="46" spans="1:17" ht="16.5">
      <c r="A46" s="8"/>
      <c r="B46" s="429" t="s">
        <v>181</v>
      </c>
      <c r="C46" s="469" t="s">
        <v>58</v>
      </c>
      <c r="D46" s="685" t="s">
        <v>182</v>
      </c>
      <c r="E46" s="686"/>
      <c r="F46" s="429" t="s">
        <v>183</v>
      </c>
      <c r="G46" s="683">
        <f>(G42-G44)</f>
        <v>0</v>
      </c>
      <c r="H46" s="683"/>
      <c r="I46" s="683"/>
      <c r="J46" s="473" t="s">
        <v>176</v>
      </c>
      <c r="K46" s="699" t="s">
        <v>184</v>
      </c>
      <c r="L46" s="700"/>
      <c r="M46" s="700"/>
      <c r="N46" s="700"/>
      <c r="O46" s="700"/>
      <c r="P46" s="700"/>
      <c r="Q46" s="434"/>
    </row>
    <row r="47" spans="1:17" ht="5.25" customHeight="1">
      <c r="A47" s="8"/>
      <c r="B47" s="429"/>
      <c r="C47" s="437"/>
      <c r="D47" s="424"/>
      <c r="E47" s="513"/>
      <c r="F47" s="429"/>
      <c r="G47" s="431"/>
      <c r="H47" s="431"/>
      <c r="I47" s="434"/>
      <c r="J47" s="465"/>
      <c r="K47" s="474"/>
      <c r="L47" s="475"/>
      <c r="M47" s="475"/>
      <c r="N47" s="475"/>
      <c r="O47" s="475"/>
      <c r="P47" s="475"/>
      <c r="Q47" s="434"/>
    </row>
    <row r="48" spans="1:17" ht="16.5">
      <c r="A48" s="8"/>
      <c r="B48" s="429" t="s">
        <v>185</v>
      </c>
      <c r="C48" s="469" t="s">
        <v>100</v>
      </c>
      <c r="D48" s="685" t="s">
        <v>186</v>
      </c>
      <c r="E48" s="686"/>
      <c r="F48" s="429" t="s">
        <v>187</v>
      </c>
      <c r="G48" s="683" t="e">
        <f>(G44/G46)</f>
        <v>#DIV/0!</v>
      </c>
      <c r="H48" s="683"/>
      <c r="I48" s="683"/>
      <c r="J48" s="473"/>
      <c r="K48" s="699" t="s">
        <v>188</v>
      </c>
      <c r="L48" s="700"/>
      <c r="M48" s="700"/>
      <c r="N48" s="700"/>
      <c r="O48" s="700"/>
      <c r="P48" s="700"/>
      <c r="Q48" s="434"/>
    </row>
    <row r="49" spans="1:17" ht="6" customHeight="1">
      <c r="A49" s="8"/>
      <c r="B49" s="429"/>
      <c r="C49" s="437"/>
      <c r="D49" s="424"/>
      <c r="E49" s="513"/>
      <c r="F49" s="76"/>
      <c r="G49" s="76"/>
      <c r="H49" s="76"/>
      <c r="I49" s="76"/>
      <c r="J49" s="76"/>
      <c r="K49" s="76"/>
      <c r="L49" s="434"/>
      <c r="M49" s="434"/>
      <c r="N49" s="434"/>
      <c r="O49" s="434"/>
      <c r="P49" s="434"/>
      <c r="Q49" s="434"/>
    </row>
    <row r="50" spans="1:17" ht="16.5">
      <c r="A50" s="8"/>
      <c r="B50" s="429" t="s">
        <v>189</v>
      </c>
      <c r="C50" s="469" t="s">
        <v>100</v>
      </c>
      <c r="D50" s="685" t="s">
        <v>190</v>
      </c>
      <c r="E50" s="686"/>
      <c r="F50" s="76"/>
      <c r="G50" s="76"/>
      <c r="H50" s="76"/>
      <c r="I50" s="76"/>
      <c r="J50" s="76"/>
      <c r="K50" s="76"/>
      <c r="L50" s="434"/>
      <c r="M50" s="434"/>
      <c r="N50" s="434"/>
      <c r="O50" s="434"/>
      <c r="P50" s="434"/>
      <c r="Q50" s="434"/>
    </row>
    <row r="51" spans="1:17" ht="6" customHeight="1">
      <c r="A51" s="8"/>
      <c r="B51" s="429"/>
      <c r="C51" s="437"/>
      <c r="D51" s="424"/>
      <c r="E51" s="513"/>
      <c r="F51" s="76"/>
      <c r="G51" s="76"/>
      <c r="H51" s="76"/>
      <c r="I51" s="76"/>
      <c r="J51" s="76"/>
      <c r="K51" s="76"/>
      <c r="L51" s="434"/>
      <c r="M51" s="434"/>
      <c r="N51" s="434"/>
      <c r="O51" s="434"/>
      <c r="P51" s="434"/>
      <c r="Q51" s="434"/>
    </row>
    <row r="52" spans="1:17" ht="16.5" customHeight="1">
      <c r="A52" s="8"/>
      <c r="B52" s="429" t="s">
        <v>191</v>
      </c>
      <c r="C52" s="469" t="s">
        <v>100</v>
      </c>
      <c r="D52" s="685" t="s">
        <v>192</v>
      </c>
      <c r="E52" s="686"/>
      <c r="F52" s="76"/>
      <c r="G52" s="76"/>
      <c r="H52" s="76"/>
      <c r="I52" s="76"/>
      <c r="J52" s="76"/>
      <c r="K52" s="76"/>
      <c r="L52" s="434"/>
      <c r="M52" s="434"/>
      <c r="N52" s="434"/>
      <c r="O52" s="434"/>
      <c r="P52" s="434"/>
      <c r="Q52" s="434"/>
    </row>
    <row r="53" spans="1:17" ht="7.5" customHeight="1">
      <c r="A53" s="8"/>
      <c r="B53" s="429"/>
      <c r="C53" s="437"/>
      <c r="D53" s="424"/>
      <c r="E53" s="424"/>
      <c r="F53" s="437"/>
      <c r="G53" s="431"/>
      <c r="H53" s="431"/>
      <c r="I53" s="76"/>
      <c r="J53" s="76"/>
      <c r="K53" s="76"/>
      <c r="L53" s="434"/>
      <c r="M53" s="434"/>
      <c r="N53" s="434"/>
      <c r="O53" s="434"/>
      <c r="P53" s="434"/>
      <c r="Q53" s="434"/>
    </row>
    <row r="54" spans="1:17" ht="14.25" customHeight="1">
      <c r="A54" s="8"/>
      <c r="B54" s="429" t="s">
        <v>193</v>
      </c>
      <c r="C54" s="469" t="s">
        <v>100</v>
      </c>
      <c r="D54" s="685" t="s">
        <v>190</v>
      </c>
      <c r="E54" s="686"/>
      <c r="F54" s="437"/>
      <c r="G54" s="431"/>
      <c r="H54" s="431"/>
      <c r="I54" s="76"/>
      <c r="J54" s="76"/>
      <c r="K54" s="76"/>
      <c r="L54" s="434"/>
      <c r="M54" s="434"/>
      <c r="N54" s="434"/>
      <c r="O54" s="434"/>
      <c r="P54" s="434"/>
      <c r="Q54" s="434"/>
    </row>
    <row r="55" spans="1:17">
      <c r="A55" s="8"/>
      <c r="B55" s="684"/>
      <c r="C55" s="684"/>
      <c r="D55" s="684"/>
      <c r="E55" s="11"/>
      <c r="F55" s="116"/>
      <c r="G55" s="113"/>
      <c r="H55" s="113"/>
      <c r="I55" s="113"/>
      <c r="J55" s="113"/>
      <c r="K55" s="113"/>
      <c r="L55" s="113"/>
    </row>
    <row r="56" spans="1:17">
      <c r="A56" s="8"/>
      <c r="B56" s="111"/>
      <c r="C56" s="11"/>
      <c r="D56" s="11"/>
      <c r="E56" s="115"/>
      <c r="F56" s="116"/>
      <c r="G56" s="113"/>
      <c r="H56" s="113"/>
      <c r="I56" s="113"/>
      <c r="J56" s="113"/>
      <c r="K56" s="113"/>
      <c r="L56" s="113"/>
    </row>
    <row r="57" spans="1:17">
      <c r="A57" s="8"/>
      <c r="B57" s="111"/>
      <c r="C57" s="11"/>
      <c r="D57" s="11"/>
      <c r="E57" s="115"/>
      <c r="F57" s="116"/>
      <c r="G57" s="113"/>
      <c r="H57" s="113"/>
      <c r="I57" s="113"/>
      <c r="J57" s="113"/>
      <c r="K57" s="113"/>
      <c r="L57" s="113"/>
    </row>
    <row r="58" spans="1:17">
      <c r="A58" s="8"/>
      <c r="B58" s="111"/>
      <c r="C58" s="11"/>
      <c r="D58" s="11"/>
      <c r="E58" s="115"/>
      <c r="F58" s="116"/>
      <c r="G58" s="120"/>
      <c r="H58" s="120"/>
    </row>
    <row r="59" spans="1:17">
      <c r="A59" s="8"/>
      <c r="B59" s="111"/>
      <c r="C59" s="11"/>
      <c r="D59" s="11"/>
      <c r="E59" s="115"/>
      <c r="F59" s="116"/>
      <c r="G59" s="120"/>
      <c r="H59" s="120"/>
    </row>
    <row r="60" spans="1:17">
      <c r="A60" s="8"/>
      <c r="B60" s="111"/>
      <c r="C60" s="11"/>
      <c r="D60" s="11"/>
      <c r="E60" s="115"/>
      <c r="F60" s="116"/>
      <c r="G60" s="120"/>
      <c r="H60" s="120"/>
    </row>
    <row r="61" spans="1:17">
      <c r="A61" s="8"/>
      <c r="B61" s="111"/>
      <c r="C61" s="11"/>
      <c r="D61" s="11"/>
      <c r="E61" s="115"/>
      <c r="F61" s="116"/>
      <c r="G61" s="120"/>
      <c r="H61" s="120"/>
    </row>
    <row r="62" spans="1:17">
      <c r="A62" s="8"/>
      <c r="B62" s="120"/>
      <c r="C62" s="120"/>
      <c r="D62" s="120"/>
      <c r="E62" s="120"/>
      <c r="F62" s="120"/>
      <c r="G62" s="120"/>
      <c r="H62" s="120"/>
    </row>
    <row r="63" spans="1:17">
      <c r="A63" s="8"/>
      <c r="B63" s="106"/>
      <c r="C63" s="106"/>
      <c r="D63" s="106"/>
      <c r="E63" s="106"/>
      <c r="F63" s="106"/>
      <c r="G63" s="10"/>
      <c r="H63" s="120"/>
    </row>
    <row r="64" spans="1:17">
      <c r="B64" s="634"/>
      <c r="C64" s="634"/>
      <c r="D64" s="634"/>
      <c r="E64" s="634"/>
      <c r="F64" s="634"/>
    </row>
  </sheetData>
  <mergeCells count="47">
    <mergeCell ref="C3:I3"/>
    <mergeCell ref="K48:P48"/>
    <mergeCell ref="K42:P42"/>
    <mergeCell ref="K44:P44"/>
    <mergeCell ref="K46:P46"/>
    <mergeCell ref="K4:P4"/>
    <mergeCell ref="P8:Q8"/>
    <mergeCell ref="G29:I29"/>
    <mergeCell ref="G27:I27"/>
    <mergeCell ref="G31:I31"/>
    <mergeCell ref="K17:P17"/>
    <mergeCell ref="I17:J17"/>
    <mergeCell ref="C4:E4"/>
    <mergeCell ref="C5:E5"/>
    <mergeCell ref="E16:F16"/>
    <mergeCell ref="C7:E7"/>
    <mergeCell ref="E9:F9"/>
    <mergeCell ref="B25:D25"/>
    <mergeCell ref="F25:K25"/>
    <mergeCell ref="E18:F18"/>
    <mergeCell ref="C34:D34"/>
    <mergeCell ref="K18:P18"/>
    <mergeCell ref="I18:J18"/>
    <mergeCell ref="G37:I37"/>
    <mergeCell ref="I22:J22"/>
    <mergeCell ref="I23:J23"/>
    <mergeCell ref="I20:Q20"/>
    <mergeCell ref="K21:Q21"/>
    <mergeCell ref="K22:P22"/>
    <mergeCell ref="G33:I33"/>
    <mergeCell ref="G35:I35"/>
    <mergeCell ref="I21:J21"/>
    <mergeCell ref="G48:I48"/>
    <mergeCell ref="B64:F64"/>
    <mergeCell ref="B55:D55"/>
    <mergeCell ref="B40:D40"/>
    <mergeCell ref="F40:J40"/>
    <mergeCell ref="G42:I42"/>
    <mergeCell ref="G44:I44"/>
    <mergeCell ref="G46:I46"/>
    <mergeCell ref="D42:E42"/>
    <mergeCell ref="D44:E44"/>
    <mergeCell ref="D46:E46"/>
    <mergeCell ref="D48:E48"/>
    <mergeCell ref="D50:E50"/>
    <mergeCell ref="D52:E52"/>
    <mergeCell ref="D54:E54"/>
  </mergeCells>
  <pageMargins left="0" right="0" top="0.74803149606299213" bottom="0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3595-37C4-4647-958F-7CDABA05F5B0}">
  <sheetPr codeName="Hoja3"/>
  <dimension ref="A2:O105"/>
  <sheetViews>
    <sheetView tabSelected="1" view="pageLayout" topLeftCell="A8" zoomScale="124" zoomScaleNormal="100" zoomScalePageLayoutView="124" workbookViewId="0">
      <selection activeCell="J13" sqref="J13"/>
    </sheetView>
  </sheetViews>
  <sheetFormatPr baseColWidth="10" defaultColWidth="11" defaultRowHeight="15"/>
  <cols>
    <col min="1" max="1" width="8.140625" style="157" customWidth="1"/>
    <col min="2" max="2" width="11.85546875" style="157" customWidth="1"/>
    <col min="3" max="3" width="7.5703125" style="157" customWidth="1"/>
    <col min="4" max="4" width="6.7109375" style="157" customWidth="1"/>
    <col min="5" max="5" width="9.42578125" style="157" customWidth="1"/>
    <col min="6" max="6" width="5.7109375" style="157" customWidth="1"/>
    <col min="7" max="7" width="12.85546875" style="157" customWidth="1"/>
    <col min="8" max="8" width="2" style="157" customWidth="1"/>
    <col min="9" max="9" width="0.140625" style="157" hidden="1" customWidth="1"/>
    <col min="10" max="10" width="7" style="157" customWidth="1"/>
    <col min="11" max="11" width="5.85546875" style="157" customWidth="1"/>
    <col min="12" max="12" width="7.85546875" style="157" customWidth="1"/>
    <col min="13" max="13" width="2.85546875" style="157" customWidth="1"/>
    <col min="14" max="14" width="4.85546875" style="157" customWidth="1"/>
    <col min="15" max="16384" width="11" style="157"/>
  </cols>
  <sheetData>
    <row r="2" spans="1:14" ht="27" customHeight="1">
      <c r="A2" s="156"/>
      <c r="B2" s="712"/>
      <c r="C2" s="712"/>
      <c r="D2" s="712"/>
      <c r="E2" s="712"/>
      <c r="F2" s="712"/>
      <c r="G2" s="712"/>
      <c r="H2" s="712"/>
      <c r="I2" s="712"/>
    </row>
    <row r="3" spans="1:14" ht="18" customHeight="1">
      <c r="A3" s="156"/>
      <c r="B3" s="418"/>
      <c r="C3" s="418"/>
      <c r="D3" s="718" t="s">
        <v>377</v>
      </c>
      <c r="E3" s="718"/>
      <c r="F3" s="718"/>
      <c r="G3" s="718"/>
      <c r="H3" s="718"/>
      <c r="I3" s="718"/>
      <c r="J3" s="718"/>
    </row>
    <row r="4" spans="1:14" ht="18" customHeight="1">
      <c r="A4" s="156"/>
      <c r="B4" s="158"/>
      <c r="C4" s="158"/>
      <c r="D4" s="158"/>
      <c r="E4" s="158"/>
      <c r="F4" s="713"/>
      <c r="G4" s="713"/>
      <c r="H4" s="713"/>
      <c r="I4" s="158"/>
    </row>
    <row r="5" spans="1:14" ht="18" customHeight="1">
      <c r="A5" s="156"/>
      <c r="B5" s="476" t="s">
        <v>1</v>
      </c>
      <c r="C5" s="714"/>
      <c r="D5" s="714"/>
      <c r="E5" s="714"/>
      <c r="F5" s="714"/>
      <c r="G5" s="477" t="s">
        <v>328</v>
      </c>
      <c r="H5" s="714"/>
      <c r="I5" s="714"/>
      <c r="J5" s="714"/>
      <c r="K5" s="159" t="s">
        <v>2</v>
      </c>
      <c r="L5" s="715">
        <v>45878</v>
      </c>
      <c r="M5" s="716"/>
      <c r="N5" s="717"/>
    </row>
    <row r="6" spans="1:14" ht="15" customHeight="1">
      <c r="A6" s="156"/>
      <c r="B6" s="476" t="s">
        <v>3</v>
      </c>
      <c r="C6" s="719" t="s">
        <v>229</v>
      </c>
      <c r="D6" s="719"/>
      <c r="E6" s="719"/>
      <c r="F6" s="719"/>
      <c r="G6" s="477" t="s">
        <v>329</v>
      </c>
      <c r="H6" s="714"/>
      <c r="I6" s="714"/>
      <c r="J6" s="714"/>
      <c r="K6" s="478"/>
    </row>
    <row r="7" spans="1:14" ht="14.25" customHeight="1">
      <c r="A7" s="156"/>
      <c r="B7" s="160"/>
      <c r="C7" s="160"/>
      <c r="D7" s="720"/>
      <c r="E7" s="720"/>
      <c r="F7" s="720"/>
      <c r="G7" s="161"/>
      <c r="H7" s="160"/>
      <c r="I7" s="158"/>
    </row>
    <row r="8" spans="1:14" ht="14.25" customHeight="1">
      <c r="A8" s="156"/>
      <c r="B8" s="160"/>
      <c r="C8" s="160"/>
      <c r="D8" s="419"/>
      <c r="E8" s="419"/>
      <c r="F8" s="419"/>
      <c r="G8" s="161"/>
      <c r="H8" s="160"/>
      <c r="I8" s="158"/>
    </row>
    <row r="9" spans="1:14" ht="17.25" customHeight="1">
      <c r="A9" s="156"/>
      <c r="B9" s="718" t="s">
        <v>55</v>
      </c>
      <c r="C9" s="718"/>
      <c r="D9" s="718"/>
      <c r="E9" s="718"/>
      <c r="F9" s="479"/>
      <c r="G9" s="718" t="s">
        <v>56</v>
      </c>
      <c r="H9" s="718"/>
      <c r="I9" s="718"/>
      <c r="J9" s="718"/>
      <c r="K9" s="718"/>
      <c r="L9" s="718"/>
      <c r="M9" s="478"/>
    </row>
    <row r="10" spans="1:14" ht="16.5">
      <c r="A10" s="156"/>
      <c r="B10" s="479"/>
      <c r="C10" s="479"/>
      <c r="D10" s="479"/>
      <c r="E10" s="479"/>
      <c r="F10" s="479"/>
      <c r="G10" s="479"/>
      <c r="H10" s="480"/>
      <c r="I10" s="480"/>
      <c r="J10" s="478"/>
      <c r="K10" s="478"/>
      <c r="L10" s="478"/>
      <c r="M10" s="478"/>
      <c r="N10" s="162"/>
    </row>
    <row r="11" spans="1:14" ht="16.5">
      <c r="A11" s="156"/>
      <c r="B11" s="548" t="s">
        <v>57</v>
      </c>
      <c r="C11" s="549"/>
      <c r="D11" s="550" t="s">
        <v>58</v>
      </c>
      <c r="E11" s="551" t="s">
        <v>59</v>
      </c>
      <c r="F11" s="552"/>
      <c r="G11" s="553" t="s">
        <v>60</v>
      </c>
      <c r="H11" s="548"/>
      <c r="I11" s="554" t="s">
        <v>61</v>
      </c>
      <c r="J11" s="555"/>
      <c r="K11" s="554" t="s">
        <v>61</v>
      </c>
      <c r="L11" s="707" t="s">
        <v>205</v>
      </c>
      <c r="M11" s="708"/>
      <c r="N11" s="708"/>
    </row>
    <row r="12" spans="1:14" ht="3.75" customHeight="1">
      <c r="A12" s="156"/>
      <c r="B12" s="548" t="s">
        <v>45</v>
      </c>
      <c r="C12" s="548"/>
      <c r="D12" s="556">
        <v>0.56999999999999995</v>
      </c>
      <c r="E12" s="557" t="s">
        <v>46</v>
      </c>
      <c r="F12" s="552"/>
      <c r="G12" s="553"/>
      <c r="H12" s="548"/>
      <c r="I12" s="558"/>
      <c r="J12" s="548"/>
      <c r="K12" s="558"/>
      <c r="L12" s="558"/>
      <c r="M12" s="559"/>
      <c r="N12" s="162"/>
    </row>
    <row r="13" spans="1:14" ht="16.5">
      <c r="A13" s="156"/>
      <c r="B13" s="548" t="s">
        <v>63</v>
      </c>
      <c r="C13" s="555"/>
      <c r="D13" s="560" t="s">
        <v>58</v>
      </c>
      <c r="E13" s="557" t="s">
        <v>64</v>
      </c>
      <c r="F13" s="552"/>
      <c r="G13" s="553" t="s">
        <v>65</v>
      </c>
      <c r="H13" s="548"/>
      <c r="I13" s="554" t="s">
        <v>61</v>
      </c>
      <c r="J13" s="555"/>
      <c r="K13" s="554" t="s">
        <v>61</v>
      </c>
      <c r="L13" s="707" t="s">
        <v>207</v>
      </c>
      <c r="M13" s="708"/>
      <c r="N13" s="708"/>
    </row>
    <row r="14" spans="1:14" ht="6" customHeight="1">
      <c r="A14" s="156"/>
      <c r="B14" s="548"/>
      <c r="C14" s="548"/>
      <c r="D14" s="556"/>
      <c r="E14" s="561"/>
      <c r="F14" s="552"/>
      <c r="G14" s="553"/>
      <c r="H14" s="548"/>
      <c r="I14" s="558"/>
      <c r="J14" s="548"/>
      <c r="K14" s="558"/>
      <c r="L14" s="558"/>
      <c r="M14" s="559"/>
      <c r="N14" s="162"/>
    </row>
    <row r="15" spans="1:14" ht="16.5">
      <c r="A15" s="156"/>
      <c r="B15" s="548" t="s">
        <v>67</v>
      </c>
      <c r="C15" s="555"/>
      <c r="D15" s="560" t="s">
        <v>58</v>
      </c>
      <c r="E15" s="557" t="s">
        <v>68</v>
      </c>
      <c r="F15" s="552"/>
      <c r="G15" s="553" t="s">
        <v>69</v>
      </c>
      <c r="H15" s="548"/>
      <c r="I15" s="554" t="s">
        <v>61</v>
      </c>
      <c r="J15" s="555"/>
      <c r="K15" s="554" t="s">
        <v>61</v>
      </c>
      <c r="L15" s="707" t="s">
        <v>209</v>
      </c>
      <c r="M15" s="708"/>
      <c r="N15" s="708"/>
    </row>
    <row r="16" spans="1:14" ht="6" customHeight="1">
      <c r="A16" s="156"/>
      <c r="B16" s="548"/>
      <c r="C16" s="548"/>
      <c r="D16" s="558"/>
      <c r="E16" s="557"/>
      <c r="F16" s="552"/>
      <c r="G16" s="553"/>
      <c r="H16" s="558"/>
      <c r="I16" s="558"/>
      <c r="J16" s="552"/>
      <c r="K16" s="481"/>
      <c r="L16" s="562"/>
      <c r="M16" s="559"/>
      <c r="N16" s="162"/>
    </row>
    <row r="17" spans="1:14" ht="16.5">
      <c r="A17" s="156"/>
      <c r="B17" s="548" t="s">
        <v>71</v>
      </c>
      <c r="C17" s="555"/>
      <c r="D17" s="554" t="s">
        <v>58</v>
      </c>
      <c r="E17" s="557" t="s">
        <v>72</v>
      </c>
      <c r="F17" s="552"/>
      <c r="G17" s="586" t="s">
        <v>327</v>
      </c>
      <c r="H17" s="587"/>
      <c r="I17" s="590" t="s">
        <v>61</v>
      </c>
      <c r="J17" s="587"/>
      <c r="K17" s="590" t="s">
        <v>58</v>
      </c>
      <c r="L17" s="709" t="s">
        <v>206</v>
      </c>
      <c r="M17" s="709"/>
      <c r="N17" s="709"/>
    </row>
    <row r="18" spans="1:14" ht="5.25" customHeight="1">
      <c r="A18" s="156"/>
      <c r="B18" s="548"/>
      <c r="C18" s="548"/>
      <c r="D18" s="721"/>
      <c r="E18" s="721"/>
      <c r="F18" s="552"/>
      <c r="G18" s="586"/>
      <c r="H18" s="587"/>
      <c r="I18" s="588"/>
      <c r="J18" s="587"/>
      <c r="K18" s="588"/>
      <c r="L18" s="591"/>
      <c r="M18" s="591"/>
      <c r="N18" s="592"/>
    </row>
    <row r="19" spans="1:14" ht="16.5">
      <c r="A19" s="156"/>
      <c r="B19" s="548" t="s">
        <v>75</v>
      </c>
      <c r="C19" s="555"/>
      <c r="D19" s="554" t="s">
        <v>58</v>
      </c>
      <c r="E19" s="557" t="s">
        <v>76</v>
      </c>
      <c r="F19" s="552"/>
      <c r="G19" s="586" t="s">
        <v>77</v>
      </c>
      <c r="H19" s="587"/>
      <c r="I19" s="590" t="s">
        <v>61</v>
      </c>
      <c r="J19" s="587"/>
      <c r="K19" s="590" t="s">
        <v>58</v>
      </c>
      <c r="L19" s="709" t="s">
        <v>208</v>
      </c>
      <c r="M19" s="709"/>
      <c r="N19" s="709"/>
    </row>
    <row r="20" spans="1:14" ht="5.25" customHeight="1">
      <c r="A20" s="156"/>
      <c r="B20" s="548"/>
      <c r="C20" s="548"/>
      <c r="D20" s="558"/>
      <c r="E20" s="557"/>
      <c r="F20" s="552"/>
      <c r="G20" s="586"/>
      <c r="H20" s="587"/>
      <c r="I20" s="588"/>
      <c r="J20" s="587"/>
      <c r="K20" s="588"/>
      <c r="L20" s="589"/>
      <c r="M20" s="589"/>
      <c r="N20" s="592"/>
    </row>
    <row r="21" spans="1:14" ht="16.5">
      <c r="A21" s="156"/>
      <c r="B21" s="587"/>
      <c r="C21" s="587"/>
      <c r="D21" s="590"/>
      <c r="E21" s="589"/>
      <c r="F21" s="613"/>
      <c r="G21" s="586" t="s">
        <v>81</v>
      </c>
      <c r="H21" s="587"/>
      <c r="I21" s="590" t="s">
        <v>61</v>
      </c>
      <c r="J21" s="587"/>
      <c r="K21" s="590" t="s">
        <v>58</v>
      </c>
      <c r="L21" s="709" t="s">
        <v>82</v>
      </c>
      <c r="M21" s="709"/>
      <c r="N21" s="709"/>
    </row>
    <row r="22" spans="1:14" ht="4.5" customHeight="1">
      <c r="A22" s="156"/>
      <c r="B22" s="593"/>
      <c r="C22" s="593"/>
      <c r="D22" s="596"/>
      <c r="E22" s="595"/>
      <c r="F22" s="613"/>
      <c r="G22" s="593"/>
      <c r="H22" s="596"/>
      <c r="I22" s="596"/>
      <c r="J22" s="613"/>
      <c r="K22" s="614"/>
      <c r="L22" s="615"/>
      <c r="M22" s="616"/>
      <c r="N22" s="617"/>
    </row>
    <row r="23" spans="1:14" s="591" customFormat="1">
      <c r="A23" s="605"/>
      <c r="B23" s="593" t="s">
        <v>178</v>
      </c>
      <c r="C23" s="593"/>
      <c r="D23" s="594" t="s">
        <v>58</v>
      </c>
      <c r="E23" s="595" t="s">
        <v>179</v>
      </c>
      <c r="G23" s="593" t="s">
        <v>79</v>
      </c>
      <c r="H23" s="711"/>
      <c r="I23" s="711"/>
      <c r="J23" s="711"/>
      <c r="K23" s="594" t="s">
        <v>21</v>
      </c>
      <c r="L23" s="711" t="s">
        <v>196</v>
      </c>
      <c r="M23" s="711"/>
      <c r="N23" s="598"/>
    </row>
    <row r="24" spans="1:14" s="591" customFormat="1" ht="5.25" customHeight="1">
      <c r="A24" s="605"/>
      <c r="B24" s="593"/>
      <c r="C24" s="593"/>
      <c r="D24" s="596"/>
      <c r="E24" s="595"/>
      <c r="G24" s="593"/>
      <c r="H24" s="596"/>
      <c r="I24" s="596"/>
      <c r="K24" s="597"/>
      <c r="L24" s="595"/>
      <c r="M24" s="598"/>
      <c r="N24" s="592"/>
    </row>
    <row r="25" spans="1:14" s="591" customFormat="1">
      <c r="A25" s="605"/>
      <c r="B25" s="593" t="s">
        <v>181</v>
      </c>
      <c r="C25" s="593">
        <f>C21-C23</f>
        <v>0</v>
      </c>
      <c r="D25" s="594" t="s">
        <v>58</v>
      </c>
      <c r="E25" s="595" t="s">
        <v>182</v>
      </c>
      <c r="G25" s="593" t="s">
        <v>89</v>
      </c>
      <c r="H25" s="711"/>
      <c r="I25" s="711"/>
      <c r="J25" s="711"/>
      <c r="K25" s="594" t="s">
        <v>58</v>
      </c>
      <c r="L25" s="711" t="s">
        <v>197</v>
      </c>
      <c r="M25" s="711"/>
      <c r="N25" s="598"/>
    </row>
    <row r="26" spans="1:14" s="591" customFormat="1" ht="5.25" customHeight="1">
      <c r="A26" s="605"/>
      <c r="B26" s="593"/>
      <c r="C26" s="593"/>
      <c r="D26" s="597"/>
      <c r="E26" s="595"/>
      <c r="G26" s="593"/>
      <c r="H26" s="596"/>
      <c r="I26" s="596"/>
      <c r="K26" s="597"/>
      <c r="L26" s="595"/>
      <c r="M26" s="598"/>
      <c r="N26" s="592"/>
    </row>
    <row r="27" spans="1:14" s="591" customFormat="1">
      <c r="A27" s="605"/>
      <c r="B27" s="593" t="s">
        <v>185</v>
      </c>
      <c r="C27" s="593"/>
      <c r="D27" s="594" t="s">
        <v>100</v>
      </c>
      <c r="E27" s="595" t="s">
        <v>186</v>
      </c>
      <c r="G27" s="593" t="s">
        <v>198</v>
      </c>
      <c r="H27" s="711"/>
      <c r="I27" s="711"/>
      <c r="J27" s="711"/>
      <c r="K27" s="594" t="s">
        <v>58</v>
      </c>
      <c r="L27" s="711" t="s">
        <v>94</v>
      </c>
      <c r="M27" s="711"/>
      <c r="N27" s="598"/>
    </row>
    <row r="28" spans="1:14" s="591" customFormat="1" ht="6" customHeight="1">
      <c r="A28" s="605"/>
      <c r="B28" s="593"/>
      <c r="C28" s="593"/>
      <c r="D28" s="597"/>
      <c r="E28" s="595"/>
      <c r="G28" s="593"/>
      <c r="H28" s="596"/>
      <c r="I28" s="596"/>
      <c r="K28" s="597"/>
      <c r="L28" s="595"/>
      <c r="M28" s="598"/>
      <c r="N28" s="592"/>
    </row>
    <row r="29" spans="1:14" s="591" customFormat="1">
      <c r="A29" s="605"/>
      <c r="B29" s="593" t="s">
        <v>189</v>
      </c>
      <c r="C29" s="593"/>
      <c r="D29" s="594" t="s">
        <v>100</v>
      </c>
      <c r="E29" s="595" t="s">
        <v>190</v>
      </c>
      <c r="G29" s="593" t="s">
        <v>199</v>
      </c>
      <c r="H29" s="711"/>
      <c r="I29" s="711"/>
      <c r="J29" s="711"/>
      <c r="K29" s="594" t="s">
        <v>58</v>
      </c>
      <c r="L29" s="711" t="s">
        <v>200</v>
      </c>
      <c r="M29" s="711"/>
      <c r="N29" s="598"/>
    </row>
    <row r="30" spans="1:14" s="591" customFormat="1" ht="6" customHeight="1">
      <c r="A30" s="605"/>
      <c r="B30" s="593"/>
      <c r="C30" s="593"/>
      <c r="D30" s="597"/>
      <c r="E30" s="595"/>
      <c r="G30" s="593"/>
      <c r="H30" s="596"/>
      <c r="I30" s="596"/>
      <c r="K30" s="597"/>
      <c r="L30" s="595"/>
      <c r="M30" s="598"/>
      <c r="N30" s="592"/>
    </row>
    <row r="31" spans="1:14" s="591" customFormat="1">
      <c r="A31" s="605"/>
      <c r="B31" s="593" t="s">
        <v>191</v>
      </c>
      <c r="C31" s="593"/>
      <c r="D31" s="594" t="s">
        <v>100</v>
      </c>
      <c r="E31" s="595" t="s">
        <v>192</v>
      </c>
      <c r="G31" s="593" t="s">
        <v>193</v>
      </c>
      <c r="H31" s="711"/>
      <c r="I31" s="711"/>
      <c r="J31" s="711"/>
      <c r="K31" s="594" t="s">
        <v>100</v>
      </c>
      <c r="L31" s="711" t="s">
        <v>190</v>
      </c>
      <c r="M31" s="711"/>
      <c r="N31" s="598"/>
    </row>
    <row r="32" spans="1:14" s="591" customFormat="1" ht="4.5" customHeight="1">
      <c r="A32" s="605"/>
      <c r="B32" s="599"/>
      <c r="C32" s="599"/>
      <c r="D32" s="599"/>
      <c r="E32" s="599"/>
      <c r="F32" s="599"/>
      <c r="G32" s="599"/>
      <c r="H32" s="599"/>
      <c r="I32" s="596"/>
      <c r="L32" s="598"/>
      <c r="M32" s="598"/>
      <c r="N32" s="592"/>
    </row>
    <row r="33" spans="1:15" s="591" customFormat="1">
      <c r="A33" s="605"/>
      <c r="B33" s="593" t="s">
        <v>201</v>
      </c>
      <c r="C33" s="593"/>
      <c r="D33" s="594" t="s">
        <v>202</v>
      </c>
      <c r="E33" s="595" t="s">
        <v>203</v>
      </c>
      <c r="F33" s="606"/>
      <c r="G33" s="593"/>
      <c r="H33" s="711"/>
      <c r="I33" s="711"/>
      <c r="J33" s="711"/>
      <c r="K33" s="594"/>
      <c r="L33" s="711"/>
      <c r="M33" s="711"/>
      <c r="N33" s="598"/>
    </row>
    <row r="34" spans="1:15" s="591" customFormat="1" ht="6" customHeight="1">
      <c r="A34" s="605"/>
      <c r="B34" s="593"/>
      <c r="C34" s="593"/>
      <c r="D34" s="597"/>
      <c r="E34" s="595"/>
      <c r="G34" s="593"/>
      <c r="H34" s="596"/>
      <c r="I34" s="596"/>
      <c r="K34" s="597"/>
      <c r="L34" s="595"/>
      <c r="M34" s="598"/>
      <c r="N34" s="592"/>
    </row>
    <row r="35" spans="1:15" s="591" customFormat="1">
      <c r="A35" s="605"/>
      <c r="B35" s="593" t="s">
        <v>204</v>
      </c>
      <c r="C35" s="593"/>
      <c r="D35" s="594" t="s">
        <v>100</v>
      </c>
      <c r="E35" s="595" t="s">
        <v>94</v>
      </c>
      <c r="F35" s="606"/>
      <c r="G35" s="593"/>
      <c r="H35" s="711"/>
      <c r="I35" s="711"/>
      <c r="J35" s="711"/>
      <c r="K35" s="594"/>
      <c r="L35" s="711"/>
      <c r="M35" s="711"/>
      <c r="N35" s="598"/>
    </row>
    <row r="36" spans="1:15" s="591" customFormat="1" ht="17.25" customHeight="1">
      <c r="A36" s="605"/>
      <c r="B36" s="599"/>
      <c r="C36" s="599"/>
      <c r="D36" s="600" t="s">
        <v>56</v>
      </c>
      <c r="E36" s="600"/>
      <c r="F36" s="600"/>
      <c r="G36" s="600"/>
      <c r="H36" s="600"/>
      <c r="I36" s="596"/>
      <c r="L36" s="592"/>
      <c r="M36" s="592"/>
      <c r="N36" s="592"/>
    </row>
    <row r="37" spans="1:15" s="591" customFormat="1" ht="10.5" customHeight="1">
      <c r="A37" s="605"/>
      <c r="B37" s="596"/>
      <c r="C37" s="596"/>
      <c r="D37" s="596"/>
      <c r="E37" s="599"/>
      <c r="F37" s="596"/>
      <c r="G37" s="596"/>
      <c r="H37" s="596"/>
      <c r="I37" s="596"/>
      <c r="L37" s="592"/>
      <c r="M37" s="592"/>
      <c r="N37" s="592"/>
    </row>
    <row r="38" spans="1:15" s="591" customFormat="1">
      <c r="A38" s="605"/>
      <c r="B38" s="593" t="s">
        <v>60</v>
      </c>
      <c r="C38" s="593"/>
      <c r="D38" s="594" t="s">
        <v>61</v>
      </c>
      <c r="E38" s="598" t="s">
        <v>205</v>
      </c>
      <c r="F38" s="601"/>
      <c r="G38" s="593" t="s">
        <v>73</v>
      </c>
      <c r="H38" s="602"/>
      <c r="I38" s="596"/>
      <c r="K38" s="594" t="s">
        <v>58</v>
      </c>
      <c r="L38" s="592" t="s">
        <v>206</v>
      </c>
      <c r="M38" s="592"/>
      <c r="N38" s="598"/>
    </row>
    <row r="39" spans="1:15" s="591" customFormat="1" ht="4.5" customHeight="1">
      <c r="A39" s="605"/>
      <c r="B39" s="593"/>
      <c r="C39" s="593"/>
      <c r="D39" s="596"/>
      <c r="E39" s="598"/>
      <c r="G39" s="593"/>
      <c r="H39" s="602"/>
      <c r="I39" s="596"/>
      <c r="K39" s="596"/>
      <c r="L39" s="592"/>
      <c r="M39" s="592"/>
      <c r="N39" s="592"/>
    </row>
    <row r="40" spans="1:15" s="591" customFormat="1">
      <c r="A40" s="605"/>
      <c r="B40" s="593" t="s">
        <v>65</v>
      </c>
      <c r="C40" s="593"/>
      <c r="D40" s="594" t="s">
        <v>61</v>
      </c>
      <c r="E40" s="598" t="s">
        <v>207</v>
      </c>
      <c r="F40" s="601"/>
      <c r="G40" s="593" t="s">
        <v>77</v>
      </c>
      <c r="H40" s="602"/>
      <c r="I40" s="596"/>
      <c r="K40" s="594" t="s">
        <v>58</v>
      </c>
      <c r="L40" s="592" t="s">
        <v>208</v>
      </c>
      <c r="M40" s="592"/>
      <c r="N40" s="598"/>
    </row>
    <row r="41" spans="1:15" s="591" customFormat="1" ht="5.25" customHeight="1">
      <c r="A41" s="605"/>
      <c r="B41" s="593"/>
      <c r="C41" s="593"/>
      <c r="D41" s="596"/>
      <c r="E41" s="598"/>
      <c r="G41" s="596"/>
      <c r="H41" s="602"/>
      <c r="I41" s="596"/>
      <c r="K41" s="597"/>
      <c r="L41" s="595"/>
      <c r="M41" s="595"/>
      <c r="N41" s="592"/>
    </row>
    <row r="42" spans="1:15" s="591" customFormat="1">
      <c r="A42" s="605"/>
      <c r="B42" s="593" t="s">
        <v>69</v>
      </c>
      <c r="C42" s="593"/>
      <c r="D42" s="594" t="s">
        <v>61</v>
      </c>
      <c r="E42" s="598" t="s">
        <v>209</v>
      </c>
      <c r="F42" s="601"/>
      <c r="G42" s="593" t="s">
        <v>81</v>
      </c>
      <c r="H42" s="602"/>
      <c r="I42" s="596"/>
      <c r="K42" s="594" t="s">
        <v>58</v>
      </c>
      <c r="L42" s="592" t="s">
        <v>82</v>
      </c>
      <c r="M42" s="592"/>
      <c r="N42" s="598"/>
      <c r="O42" s="609"/>
    </row>
    <row r="43" spans="1:15" s="591" customFormat="1" ht="5.25" customHeight="1">
      <c r="A43" s="605"/>
      <c r="B43" s="593"/>
      <c r="C43" s="593"/>
      <c r="D43" s="597"/>
      <c r="E43" s="595"/>
      <c r="G43" s="603"/>
      <c r="H43" s="602"/>
      <c r="I43" s="596"/>
      <c r="K43" s="597"/>
      <c r="L43" s="596"/>
      <c r="M43" s="592"/>
      <c r="N43" s="592"/>
      <c r="O43" s="609"/>
    </row>
    <row r="44" spans="1:15" s="591" customFormat="1" ht="6.75" customHeight="1">
      <c r="A44" s="605"/>
      <c r="B44" s="711"/>
      <c r="C44" s="711"/>
      <c r="D44" s="711"/>
      <c r="E44" s="711"/>
      <c r="F44" s="595"/>
      <c r="G44" s="602"/>
      <c r="H44" s="604"/>
      <c r="I44" s="604"/>
      <c r="J44" s="604"/>
      <c r="K44" s="604"/>
      <c r="L44" s="604"/>
      <c r="M44" s="604"/>
      <c r="N44" s="604"/>
      <c r="O44" s="609"/>
    </row>
    <row r="45" spans="1:15" s="591" customFormat="1" ht="17.25" customHeight="1">
      <c r="A45" s="605"/>
      <c r="B45" s="599"/>
      <c r="C45" s="599"/>
      <c r="D45" s="600" t="s">
        <v>85</v>
      </c>
      <c r="E45" s="600"/>
      <c r="F45" s="600"/>
      <c r="G45" s="600"/>
      <c r="H45" s="600"/>
      <c r="I45" s="596"/>
      <c r="L45" s="592"/>
      <c r="M45" s="592"/>
      <c r="N45" s="592"/>
      <c r="O45" s="609"/>
    </row>
    <row r="46" spans="1:15" s="591" customFormat="1" ht="10.5" customHeight="1">
      <c r="A46" s="605"/>
      <c r="B46" s="596"/>
      <c r="C46" s="596"/>
      <c r="D46" s="596"/>
      <c r="E46" s="599"/>
      <c r="F46" s="596"/>
      <c r="G46" s="596"/>
      <c r="H46" s="596"/>
      <c r="I46" s="596"/>
      <c r="L46" s="592"/>
      <c r="M46" s="592"/>
      <c r="N46" s="592"/>
      <c r="O46" s="609"/>
    </row>
    <row r="47" spans="1:15" s="591" customFormat="1">
      <c r="A47" s="605"/>
      <c r="B47" s="593" t="s">
        <v>89</v>
      </c>
      <c r="C47" s="593"/>
      <c r="D47" s="594" t="s">
        <v>58</v>
      </c>
      <c r="E47" s="604" t="s">
        <v>90</v>
      </c>
      <c r="F47" s="604"/>
      <c r="G47" s="593" t="s">
        <v>97</v>
      </c>
      <c r="H47" s="710"/>
      <c r="I47" s="710"/>
      <c r="J47" s="710"/>
      <c r="K47" s="594" t="s">
        <v>210</v>
      </c>
      <c r="L47" s="711" t="s">
        <v>98</v>
      </c>
      <c r="M47" s="711"/>
      <c r="N47" s="598"/>
      <c r="O47" s="609"/>
    </row>
    <row r="48" spans="1:15" s="591" customFormat="1" ht="4.5" customHeight="1">
      <c r="A48" s="605"/>
      <c r="B48" s="593"/>
      <c r="C48" s="593"/>
      <c r="D48" s="597"/>
      <c r="E48" s="595"/>
      <c r="F48" s="598"/>
      <c r="G48" s="593"/>
      <c r="H48" s="602"/>
      <c r="I48" s="596"/>
      <c r="K48" s="596"/>
      <c r="L48" s="595"/>
      <c r="M48" s="598"/>
      <c r="N48" s="592"/>
      <c r="O48" s="609"/>
    </row>
    <row r="49" spans="1:15" s="591" customFormat="1">
      <c r="A49" s="605"/>
      <c r="B49" s="593" t="s">
        <v>93</v>
      </c>
      <c r="C49" s="593"/>
      <c r="D49" s="594" t="s">
        <v>58</v>
      </c>
      <c r="E49" s="604" t="s">
        <v>94</v>
      </c>
      <c r="F49" s="604"/>
      <c r="G49" s="593" t="s">
        <v>102</v>
      </c>
      <c r="H49" s="710" t="e">
        <f>B47-G47-G51</f>
        <v>#VALUE!</v>
      </c>
      <c r="I49" s="710"/>
      <c r="J49" s="710"/>
      <c r="K49" s="594" t="s">
        <v>210</v>
      </c>
      <c r="L49" s="711" t="s">
        <v>103</v>
      </c>
      <c r="M49" s="711"/>
      <c r="N49" s="598"/>
      <c r="O49" s="609"/>
    </row>
    <row r="50" spans="1:15" s="591" customFormat="1" ht="5.25" customHeight="1">
      <c r="A50" s="605"/>
      <c r="B50" s="593"/>
      <c r="C50" s="593"/>
      <c r="D50" s="596"/>
      <c r="E50" s="598"/>
      <c r="G50" s="599"/>
      <c r="H50" s="602"/>
      <c r="I50" s="596"/>
      <c r="K50" s="597"/>
      <c r="L50" s="598"/>
      <c r="M50" s="598"/>
      <c r="N50" s="592"/>
      <c r="O50" s="609"/>
    </row>
    <row r="51" spans="1:15" s="591" customFormat="1">
      <c r="A51" s="605"/>
      <c r="B51" s="593"/>
      <c r="C51" s="593"/>
      <c r="D51" s="594"/>
      <c r="E51" s="598"/>
      <c r="F51" s="601"/>
      <c r="G51" s="593" t="s">
        <v>105</v>
      </c>
      <c r="H51" s="710" t="e">
        <f>B49/5</f>
        <v>#VALUE!</v>
      </c>
      <c r="I51" s="710"/>
      <c r="J51" s="710"/>
      <c r="K51" s="594" t="s">
        <v>210</v>
      </c>
      <c r="L51" s="711" t="s">
        <v>106</v>
      </c>
      <c r="M51" s="711"/>
      <c r="N51" s="598"/>
      <c r="O51" s="609"/>
    </row>
    <row r="52" spans="1:15" s="591" customFormat="1" ht="9.75" customHeight="1">
      <c r="A52" s="605"/>
      <c r="B52" s="158"/>
      <c r="C52" s="596"/>
      <c r="D52" s="595"/>
      <c r="E52" s="595"/>
      <c r="F52" s="599"/>
      <c r="G52" s="596"/>
      <c r="H52" s="612"/>
      <c r="I52" s="612"/>
      <c r="J52" s="612"/>
      <c r="K52" s="612"/>
      <c r="L52" s="612"/>
      <c r="M52" s="612"/>
      <c r="N52" s="612"/>
      <c r="O52" s="609"/>
    </row>
    <row r="53" spans="1:15" s="591" customFormat="1" ht="17.25" customHeight="1">
      <c r="A53" s="605"/>
      <c r="B53" s="160"/>
      <c r="C53" s="599"/>
      <c r="D53" s="600" t="s">
        <v>211</v>
      </c>
      <c r="E53" s="600"/>
      <c r="F53" s="600"/>
      <c r="G53" s="600"/>
      <c r="H53" s="611"/>
      <c r="I53" s="158"/>
      <c r="J53" s="609"/>
      <c r="K53" s="609"/>
      <c r="L53" s="610"/>
      <c r="M53" s="610"/>
      <c r="N53" s="610"/>
      <c r="O53" s="609"/>
    </row>
    <row r="54" spans="1:15" ht="10.5" customHeight="1">
      <c r="A54" s="156"/>
      <c r="B54" s="158"/>
      <c r="C54" s="158"/>
      <c r="D54" s="158"/>
      <c r="E54" s="160"/>
      <c r="F54" s="158"/>
      <c r="G54" s="158"/>
      <c r="H54" s="158"/>
      <c r="I54" s="158"/>
      <c r="J54" s="609"/>
      <c r="K54" s="609"/>
      <c r="L54" s="610"/>
      <c r="M54" s="610"/>
      <c r="N54" s="608"/>
      <c r="O54" s="607"/>
    </row>
    <row r="55" spans="1:15" customFormat="1">
      <c r="A55" s="8"/>
      <c r="B55" s="727" t="s">
        <v>114</v>
      </c>
      <c r="C55" s="728"/>
      <c r="D55" s="729"/>
      <c r="E55" s="570"/>
      <c r="F55" s="571"/>
      <c r="G55" s="152"/>
      <c r="H55" s="152"/>
      <c r="I55" s="26"/>
      <c r="J55" s="26"/>
      <c r="K55" s="102"/>
      <c r="L55" s="103"/>
      <c r="M55" s="103"/>
      <c r="N55" s="103"/>
    </row>
    <row r="56" spans="1:15" customFormat="1" ht="14.25" customHeight="1">
      <c r="B56" s="727" t="s">
        <v>115</v>
      </c>
      <c r="C56" s="728"/>
      <c r="D56" s="729"/>
      <c r="E56" s="570"/>
      <c r="F56" s="571"/>
      <c r="G56" s="152"/>
      <c r="H56" s="152"/>
      <c r="I56" s="26"/>
      <c r="J56" s="26"/>
      <c r="K56" s="155"/>
      <c r="L56" s="155"/>
      <c r="M56" s="155"/>
      <c r="N56" s="155"/>
    </row>
    <row r="57" spans="1:15">
      <c r="A57" s="156"/>
      <c r="B57" s="563"/>
      <c r="C57" s="563"/>
      <c r="D57" s="565"/>
      <c r="E57" s="569"/>
      <c r="F57" s="569"/>
      <c r="G57" s="563"/>
      <c r="H57" s="568"/>
      <c r="I57" s="168"/>
      <c r="J57" s="566"/>
      <c r="K57" s="563"/>
      <c r="L57" s="569"/>
      <c r="M57" s="569"/>
      <c r="N57" s="169"/>
    </row>
    <row r="58" spans="1:15" ht="5.25" customHeight="1">
      <c r="A58" s="156"/>
      <c r="B58" s="563"/>
      <c r="C58" s="563"/>
      <c r="D58" s="168"/>
      <c r="E58" s="169"/>
      <c r="F58" s="552"/>
      <c r="G58" s="567"/>
      <c r="H58" s="568"/>
      <c r="I58" s="168"/>
      <c r="J58" s="552"/>
      <c r="K58" s="163"/>
      <c r="L58" s="169"/>
      <c r="M58" s="169"/>
      <c r="N58" s="162"/>
    </row>
    <row r="59" spans="1:15">
      <c r="A59" s="156"/>
      <c r="B59" s="563"/>
      <c r="C59" s="563"/>
      <c r="D59" s="169"/>
      <c r="E59" s="169"/>
      <c r="F59" s="170"/>
      <c r="G59" s="563"/>
      <c r="H59" s="568"/>
      <c r="I59" s="168"/>
      <c r="J59" s="552"/>
      <c r="K59" s="563"/>
      <c r="L59" s="177"/>
      <c r="M59" s="177"/>
      <c r="N59" s="169"/>
    </row>
    <row r="60" spans="1:15">
      <c r="A60" s="156"/>
      <c r="B60" s="164"/>
      <c r="C60" s="164"/>
      <c r="D60" s="564"/>
      <c r="E60" s="564"/>
      <c r="F60" s="166"/>
      <c r="G60" s="168"/>
      <c r="H60" s="569"/>
      <c r="I60" s="569"/>
      <c r="J60" s="569"/>
      <c r="K60" s="569"/>
      <c r="L60" s="569"/>
      <c r="M60" s="569"/>
      <c r="N60" s="569"/>
    </row>
    <row r="61" spans="1:15">
      <c r="A61" s="156"/>
      <c r="B61" s="164"/>
      <c r="C61" s="164"/>
      <c r="D61" s="564"/>
      <c r="E61" s="564"/>
      <c r="F61" s="166"/>
      <c r="G61" s="168"/>
      <c r="H61" s="168"/>
      <c r="I61" s="168"/>
      <c r="J61" s="552"/>
      <c r="K61" s="552"/>
      <c r="L61" s="552"/>
      <c r="M61" s="552"/>
      <c r="N61" s="552"/>
    </row>
    <row r="62" spans="1:15">
      <c r="A62" s="156"/>
      <c r="B62" s="164"/>
      <c r="C62" s="164"/>
      <c r="D62" s="564"/>
      <c r="E62" s="564"/>
      <c r="F62" s="166"/>
      <c r="G62" s="168"/>
      <c r="H62" s="168"/>
      <c r="I62" s="168"/>
      <c r="J62" s="552"/>
      <c r="K62" s="552"/>
      <c r="L62" s="552"/>
      <c r="M62" s="552"/>
      <c r="N62" s="552"/>
    </row>
    <row r="63" spans="1:15">
      <c r="A63" s="156"/>
      <c r="B63" s="164"/>
      <c r="C63" s="164"/>
      <c r="D63" s="564"/>
      <c r="E63" s="564"/>
      <c r="F63" s="166"/>
      <c r="G63" s="168"/>
      <c r="H63" s="168"/>
      <c r="I63" s="168"/>
      <c r="J63" s="552"/>
      <c r="K63" s="552"/>
      <c r="L63" s="552"/>
      <c r="M63" s="552"/>
      <c r="N63" s="552"/>
    </row>
    <row r="64" spans="1:15" ht="29.25" customHeight="1">
      <c r="A64" s="156"/>
      <c r="B64" s="572"/>
      <c r="C64" s="572"/>
      <c r="D64" s="572"/>
      <c r="E64" s="572"/>
      <c r="F64" s="572"/>
      <c r="G64" s="572"/>
      <c r="H64" s="168"/>
      <c r="I64" s="168"/>
      <c r="J64" s="552"/>
      <c r="K64" s="552"/>
      <c r="L64" s="552"/>
      <c r="M64" s="552"/>
      <c r="N64" s="552"/>
    </row>
    <row r="65" spans="1:14">
      <c r="A65" s="156"/>
      <c r="B65" s="164"/>
      <c r="C65" s="164"/>
      <c r="D65" s="164"/>
      <c r="E65" s="164"/>
      <c r="F65" s="164"/>
      <c r="G65" s="164"/>
      <c r="H65" s="164"/>
      <c r="I65" s="164"/>
      <c r="J65" s="552"/>
      <c r="K65" s="552"/>
      <c r="L65" s="552"/>
      <c r="M65" s="552"/>
      <c r="N65" s="552"/>
    </row>
    <row r="66" spans="1:14">
      <c r="A66" s="156"/>
      <c r="B66" s="722" t="s">
        <v>0</v>
      </c>
      <c r="C66" s="722"/>
      <c r="D66" s="722"/>
      <c r="E66" s="722"/>
      <c r="F66" s="722"/>
      <c r="G66" s="722"/>
      <c r="H66" s="164"/>
      <c r="I66" s="164"/>
      <c r="J66" s="552"/>
      <c r="K66" s="552"/>
      <c r="L66" s="552"/>
      <c r="M66" s="552"/>
      <c r="N66" s="552"/>
    </row>
    <row r="67" spans="1:14">
      <c r="A67" s="156"/>
      <c r="B67" s="171" t="s">
        <v>116</v>
      </c>
      <c r="C67" s="171"/>
      <c r="D67" s="723"/>
      <c r="E67" s="723"/>
      <c r="F67" s="723"/>
      <c r="G67" s="171" t="s">
        <v>383</v>
      </c>
      <c r="H67" s="172"/>
      <c r="I67" s="164"/>
      <c r="J67" s="552"/>
      <c r="K67" s="159" t="s">
        <v>2</v>
      </c>
      <c r="L67" s="724">
        <f ca="1">NOW()</f>
        <v>46278.258565972224</v>
      </c>
      <c r="M67" s="725"/>
      <c r="N67" s="726"/>
    </row>
    <row r="68" spans="1:14">
      <c r="A68" s="156"/>
      <c r="B68" s="171" t="s">
        <v>118</v>
      </c>
      <c r="C68" s="171"/>
      <c r="D68" s="723"/>
      <c r="E68" s="723"/>
      <c r="F68" s="723"/>
      <c r="G68" s="171" t="s">
        <v>384</v>
      </c>
      <c r="H68" s="172"/>
      <c r="I68" s="164"/>
      <c r="J68" s="552"/>
      <c r="K68" s="552"/>
      <c r="L68" s="552"/>
      <c r="M68" s="552"/>
      <c r="N68" s="552"/>
    </row>
    <row r="69" spans="1:14" ht="3.75" customHeight="1">
      <c r="A69" s="156"/>
      <c r="B69" s="164"/>
      <c r="C69" s="164"/>
      <c r="D69" s="722"/>
      <c r="E69" s="722"/>
      <c r="F69" s="722"/>
      <c r="G69" s="722"/>
      <c r="H69" s="164"/>
      <c r="I69" s="164"/>
      <c r="J69" s="552"/>
      <c r="K69" s="552"/>
      <c r="L69" s="552"/>
      <c r="M69" s="552"/>
      <c r="N69" s="552"/>
    </row>
    <row r="70" spans="1:14">
      <c r="A70" s="156"/>
      <c r="B70" s="164"/>
      <c r="C70" s="164"/>
      <c r="D70" s="722" t="s">
        <v>126</v>
      </c>
      <c r="E70" s="722"/>
      <c r="F70" s="722"/>
      <c r="G70" s="722"/>
      <c r="H70" s="164"/>
      <c r="I70" s="164"/>
      <c r="J70" s="552"/>
      <c r="K70" s="552"/>
      <c r="L70" s="552"/>
      <c r="M70" s="552"/>
      <c r="N70" s="552"/>
    </row>
    <row r="71" spans="1:14" ht="9" customHeight="1">
      <c r="A71" s="156"/>
      <c r="B71" s="164"/>
      <c r="C71" s="164"/>
      <c r="D71" s="171"/>
      <c r="E71" s="171"/>
      <c r="F71" s="171"/>
      <c r="G71" s="171"/>
      <c r="H71" s="164"/>
      <c r="I71" s="164"/>
      <c r="J71" s="552"/>
      <c r="K71" s="552"/>
      <c r="L71" s="552"/>
      <c r="M71" s="552"/>
      <c r="N71" s="552"/>
    </row>
    <row r="72" spans="1:14">
      <c r="A72" s="156"/>
      <c r="B72" s="173" t="s">
        <v>127</v>
      </c>
      <c r="C72" s="173"/>
      <c r="D72" s="171"/>
      <c r="E72" s="171"/>
      <c r="F72" s="171"/>
      <c r="G72" s="171"/>
      <c r="H72" s="164"/>
      <c r="I72" s="164"/>
      <c r="J72" s="552"/>
      <c r="K72" s="552"/>
      <c r="L72" s="552"/>
      <c r="M72" s="552"/>
      <c r="N72" s="552"/>
    </row>
    <row r="73" spans="1:14">
      <c r="A73" s="156"/>
      <c r="B73" s="174" t="s">
        <v>128</v>
      </c>
      <c r="C73" s="174"/>
      <c r="D73" s="165" t="s">
        <v>129</v>
      </c>
      <c r="E73" s="171"/>
      <c r="F73" s="171" t="s">
        <v>130</v>
      </c>
      <c r="G73" s="175">
        <v>1015</v>
      </c>
      <c r="H73" s="164"/>
      <c r="I73" s="164"/>
      <c r="J73" s="552"/>
      <c r="K73" s="552"/>
      <c r="L73" s="552"/>
      <c r="M73" s="552"/>
      <c r="N73" s="552"/>
    </row>
    <row r="74" spans="1:14" ht="18.75" customHeight="1">
      <c r="A74" s="156"/>
      <c r="B74" s="174" t="s">
        <v>131</v>
      </c>
      <c r="C74" s="174"/>
      <c r="D74" s="167" t="s">
        <v>132</v>
      </c>
      <c r="E74" s="174"/>
      <c r="F74" s="174" t="s">
        <v>133</v>
      </c>
      <c r="G74" s="176" t="s">
        <v>134</v>
      </c>
      <c r="H74" s="171"/>
      <c r="I74" s="164"/>
      <c r="J74" s="552"/>
      <c r="K74" s="552"/>
      <c r="L74" s="552"/>
      <c r="M74" s="552"/>
      <c r="N74" s="552"/>
    </row>
    <row r="75" spans="1:14">
      <c r="A75" s="156"/>
      <c r="B75" s="174" t="s">
        <v>135</v>
      </c>
      <c r="C75" s="174"/>
      <c r="D75" s="167" t="s">
        <v>136</v>
      </c>
      <c r="E75" s="174"/>
      <c r="F75" s="174" t="s">
        <v>137</v>
      </c>
      <c r="G75" s="176" t="s">
        <v>138</v>
      </c>
      <c r="H75" s="177"/>
      <c r="I75" s="164"/>
      <c r="J75" s="552"/>
      <c r="K75" s="552"/>
      <c r="L75" s="552"/>
      <c r="M75" s="552"/>
      <c r="N75" s="552"/>
    </row>
    <row r="76" spans="1:14">
      <c r="A76" s="156"/>
      <c r="B76" s="174" t="s">
        <v>139</v>
      </c>
      <c r="C76" s="174"/>
      <c r="D76" s="167" t="s">
        <v>140</v>
      </c>
      <c r="E76" s="174"/>
      <c r="F76" s="178"/>
      <c r="G76" s="174"/>
      <c r="H76" s="164"/>
      <c r="I76" s="164"/>
      <c r="J76" s="552"/>
      <c r="K76" s="552"/>
      <c r="L76" s="552"/>
      <c r="M76" s="552"/>
      <c r="N76" s="552"/>
    </row>
    <row r="77" spans="1:14">
      <c r="A77" s="156"/>
      <c r="B77" s="174"/>
      <c r="C77" s="174"/>
      <c r="D77" s="174"/>
      <c r="E77" s="174"/>
      <c r="F77" s="178"/>
      <c r="G77" s="174"/>
      <c r="H77" s="164"/>
      <c r="I77" s="164"/>
      <c r="J77" s="552"/>
      <c r="K77" s="552"/>
      <c r="L77" s="552"/>
      <c r="M77" s="552"/>
      <c r="N77" s="552"/>
    </row>
    <row r="78" spans="1:14">
      <c r="A78" s="156"/>
      <c r="B78" s="179" t="s">
        <v>141</v>
      </c>
      <c r="C78" s="179"/>
      <c r="D78" s="171"/>
      <c r="E78" s="171"/>
      <c r="F78" s="171"/>
      <c r="G78" s="171"/>
      <c r="H78" s="164"/>
      <c r="I78" s="164"/>
      <c r="J78" s="552"/>
      <c r="K78" s="552"/>
      <c r="L78" s="552"/>
      <c r="M78" s="552"/>
      <c r="N78" s="552"/>
    </row>
    <row r="79" spans="1:14">
      <c r="A79" s="156"/>
      <c r="B79" s="171" t="s">
        <v>142</v>
      </c>
      <c r="C79" s="171"/>
      <c r="D79" s="165" t="s">
        <v>143</v>
      </c>
      <c r="E79" s="171"/>
      <c r="F79" s="171" t="s">
        <v>144</v>
      </c>
      <c r="G79" s="547"/>
      <c r="H79" s="735" t="s">
        <v>143</v>
      </c>
      <c r="I79" s="736"/>
      <c r="J79" s="736"/>
      <c r="K79" s="737"/>
      <c r="L79" s="552"/>
      <c r="M79" s="552"/>
      <c r="N79" s="552"/>
    </row>
    <row r="80" spans="1:14">
      <c r="A80" s="156"/>
      <c r="B80" s="174" t="s">
        <v>145</v>
      </c>
      <c r="C80" s="174"/>
      <c r="D80" s="165" t="s">
        <v>143</v>
      </c>
      <c r="E80" s="179"/>
      <c r="F80" s="171" t="s">
        <v>146</v>
      </c>
      <c r="G80" s="171"/>
      <c r="H80" s="735" t="s">
        <v>147</v>
      </c>
      <c r="I80" s="736"/>
      <c r="J80" s="736"/>
      <c r="K80" s="737"/>
      <c r="L80" s="552"/>
      <c r="M80" s="552"/>
      <c r="N80" s="552"/>
    </row>
    <row r="81" spans="1:14">
      <c r="A81" s="156"/>
      <c r="B81" s="174" t="s">
        <v>148</v>
      </c>
      <c r="C81" s="174"/>
      <c r="D81" s="165" t="s">
        <v>143</v>
      </c>
      <c r="E81" s="171"/>
      <c r="F81" s="171" t="s">
        <v>149</v>
      </c>
      <c r="G81" s="163"/>
      <c r="H81" s="735" t="s">
        <v>143</v>
      </c>
      <c r="I81" s="736"/>
      <c r="J81" s="736"/>
      <c r="K81" s="737"/>
      <c r="L81" s="552"/>
      <c r="M81" s="552"/>
      <c r="N81" s="552"/>
    </row>
    <row r="82" spans="1:14">
      <c r="A82" s="156"/>
      <c r="B82" s="738" t="s">
        <v>150</v>
      </c>
      <c r="C82" s="738"/>
      <c r="D82" s="738"/>
      <c r="E82" s="739"/>
      <c r="F82" s="573"/>
      <c r="G82" s="179"/>
      <c r="H82" s="164"/>
      <c r="I82" s="164"/>
      <c r="J82" s="552"/>
      <c r="K82" s="552"/>
      <c r="L82" s="552"/>
      <c r="M82" s="552"/>
      <c r="N82" s="552"/>
    </row>
    <row r="83" spans="1:14">
      <c r="A83" s="156"/>
      <c r="B83" s="174" t="s">
        <v>151</v>
      </c>
      <c r="C83" s="174"/>
      <c r="D83" s="165" t="s">
        <v>143</v>
      </c>
      <c r="E83" s="171"/>
      <c r="F83" s="171"/>
      <c r="G83" s="171"/>
      <c r="H83" s="164"/>
      <c r="I83" s="164"/>
      <c r="J83" s="552"/>
      <c r="K83" s="552"/>
      <c r="L83" s="552"/>
      <c r="M83" s="552"/>
      <c r="N83" s="552"/>
    </row>
    <row r="84" spans="1:14" ht="18.75" customHeight="1">
      <c r="A84" s="156"/>
      <c r="B84" s="179" t="s">
        <v>152</v>
      </c>
      <c r="C84" s="179"/>
      <c r="D84" s="574"/>
      <c r="E84" s="574"/>
      <c r="F84" s="574"/>
      <c r="G84" s="574"/>
      <c r="H84" s="164"/>
      <c r="I84" s="164"/>
      <c r="J84" s="552"/>
      <c r="K84" s="552"/>
      <c r="L84" s="552"/>
      <c r="M84" s="552"/>
      <c r="N84" s="552"/>
    </row>
    <row r="85" spans="1:14">
      <c r="A85" s="156"/>
      <c r="B85" s="171" t="s">
        <v>153</v>
      </c>
      <c r="C85" s="171"/>
      <c r="D85" s="165" t="s">
        <v>154</v>
      </c>
      <c r="E85" s="174"/>
      <c r="F85" s="174" t="s">
        <v>155</v>
      </c>
      <c r="G85" s="176" t="s">
        <v>154</v>
      </c>
      <c r="H85" s="164"/>
      <c r="I85" s="164"/>
      <c r="J85" s="552"/>
      <c r="K85" s="552"/>
      <c r="L85" s="552"/>
      <c r="M85" s="552"/>
      <c r="N85" s="552"/>
    </row>
    <row r="86" spans="1:14">
      <c r="A86" s="156"/>
      <c r="B86" s="171" t="s">
        <v>156</v>
      </c>
      <c r="C86" s="171"/>
      <c r="D86" s="165" t="s">
        <v>157</v>
      </c>
      <c r="E86" s="171"/>
      <c r="F86" s="171" t="s">
        <v>158</v>
      </c>
      <c r="G86" s="575" t="s">
        <v>159</v>
      </c>
      <c r="H86" s="164"/>
      <c r="I86" s="164"/>
      <c r="J86" s="552"/>
      <c r="K86" s="552"/>
      <c r="L86" s="552"/>
      <c r="M86" s="552"/>
      <c r="N86" s="552"/>
    </row>
    <row r="87" spans="1:14">
      <c r="A87" s="156"/>
      <c r="B87" s="171" t="s">
        <v>160</v>
      </c>
      <c r="C87" s="171"/>
      <c r="D87" s="165" t="s">
        <v>161</v>
      </c>
      <c r="E87" s="171"/>
      <c r="F87" s="171" t="s">
        <v>162</v>
      </c>
      <c r="G87" s="176" t="s">
        <v>154</v>
      </c>
      <c r="H87" s="164"/>
      <c r="I87" s="164"/>
      <c r="J87" s="552"/>
      <c r="K87" s="552"/>
      <c r="L87" s="552"/>
      <c r="M87" s="552"/>
      <c r="N87" s="552"/>
    </row>
    <row r="88" spans="1:14">
      <c r="A88" s="156"/>
      <c r="B88" s="164"/>
      <c r="C88" s="164"/>
      <c r="D88" s="164"/>
      <c r="E88" s="164"/>
      <c r="F88" s="164"/>
      <c r="G88" s="164"/>
      <c r="H88" s="164"/>
      <c r="I88" s="164"/>
      <c r="J88" s="552"/>
      <c r="K88" s="552"/>
      <c r="L88" s="552"/>
      <c r="M88" s="552"/>
      <c r="N88" s="552"/>
    </row>
    <row r="89" spans="1:14">
      <c r="A89" s="156"/>
      <c r="B89" s="174" t="s">
        <v>163</v>
      </c>
      <c r="C89" s="174"/>
      <c r="D89" s="730" t="s">
        <v>164</v>
      </c>
      <c r="E89" s="731"/>
      <c r="F89" s="731"/>
      <c r="G89" s="732"/>
      <c r="H89" s="164"/>
      <c r="I89" s="164"/>
      <c r="J89" s="552"/>
      <c r="K89" s="552"/>
      <c r="L89" s="552"/>
      <c r="M89" s="552"/>
      <c r="N89" s="552"/>
    </row>
    <row r="90" spans="1:14" ht="15" customHeight="1">
      <c r="A90" s="156"/>
      <c r="B90" s="164"/>
      <c r="C90" s="164"/>
      <c r="D90" s="164"/>
      <c r="E90" s="164"/>
      <c r="F90" s="164"/>
      <c r="G90" s="164"/>
      <c r="H90" s="164"/>
      <c r="I90" s="164"/>
      <c r="J90" s="552"/>
      <c r="K90" s="552"/>
      <c r="L90" s="552"/>
      <c r="M90" s="552"/>
      <c r="N90" s="552"/>
    </row>
    <row r="91" spans="1:14">
      <c r="A91" s="156"/>
      <c r="B91" s="164"/>
      <c r="C91" s="164"/>
      <c r="D91" s="164"/>
      <c r="E91" s="177"/>
      <c r="F91" s="177"/>
      <c r="G91" s="733" t="s">
        <v>214</v>
      </c>
      <c r="H91" s="733"/>
      <c r="I91" s="733"/>
      <c r="J91" s="733"/>
      <c r="K91" s="733"/>
      <c r="L91" s="733"/>
      <c r="M91" s="733"/>
      <c r="N91" s="552"/>
    </row>
    <row r="92" spans="1:14">
      <c r="A92" s="156"/>
      <c r="B92" s="177"/>
      <c r="C92" s="177"/>
      <c r="D92" s="177"/>
      <c r="E92" s="177"/>
      <c r="F92" s="177"/>
      <c r="G92" s="733"/>
      <c r="H92" s="733"/>
      <c r="I92" s="733"/>
      <c r="J92" s="733"/>
      <c r="K92" s="733"/>
      <c r="L92" s="733"/>
      <c r="M92" s="733"/>
      <c r="N92" s="552"/>
    </row>
    <row r="93" spans="1:14">
      <c r="A93" s="156"/>
      <c r="B93" s="164"/>
      <c r="C93" s="164"/>
      <c r="D93" s="164"/>
      <c r="E93" s="177"/>
      <c r="F93" s="177"/>
      <c r="G93" s="733"/>
      <c r="H93" s="733"/>
      <c r="I93" s="733"/>
      <c r="J93" s="733"/>
      <c r="K93" s="733"/>
      <c r="L93" s="733"/>
      <c r="M93" s="733"/>
      <c r="N93" s="552"/>
    </row>
    <row r="94" spans="1:14">
      <c r="A94" s="156"/>
      <c r="B94" s="164"/>
      <c r="C94" s="164"/>
      <c r="D94" s="168"/>
      <c r="E94" s="177"/>
      <c r="F94" s="177"/>
      <c r="G94" s="733"/>
      <c r="H94" s="733"/>
      <c r="I94" s="733"/>
      <c r="J94" s="733"/>
      <c r="K94" s="733"/>
      <c r="L94" s="733"/>
      <c r="M94" s="733"/>
      <c r="N94" s="552"/>
    </row>
    <row r="95" spans="1:14">
      <c r="A95" s="156"/>
      <c r="B95" s="164"/>
      <c r="C95" s="164"/>
      <c r="D95" s="168"/>
      <c r="E95" s="168"/>
      <c r="F95" s="168"/>
      <c r="G95" s="168"/>
      <c r="H95" s="168"/>
      <c r="I95" s="164"/>
      <c r="J95" s="552"/>
      <c r="K95" s="552"/>
      <c r="L95" s="552"/>
      <c r="M95" s="552"/>
      <c r="N95" s="552"/>
    </row>
    <row r="96" spans="1:14">
      <c r="A96" s="156"/>
      <c r="B96" s="567"/>
      <c r="C96" s="567"/>
      <c r="D96" s="567"/>
      <c r="E96" s="567"/>
      <c r="F96" s="567"/>
      <c r="G96" s="567"/>
      <c r="H96" s="164"/>
      <c r="I96" s="164"/>
      <c r="J96" s="552"/>
      <c r="K96" s="552"/>
      <c r="L96" s="552"/>
      <c r="M96" s="552"/>
      <c r="N96" s="552"/>
    </row>
    <row r="97" spans="1:14">
      <c r="A97" s="156"/>
      <c r="B97" s="567"/>
      <c r="C97" s="567"/>
      <c r="D97" s="567"/>
      <c r="E97" s="567"/>
      <c r="F97" s="567"/>
      <c r="G97" s="567"/>
      <c r="H97" s="164"/>
      <c r="I97" s="164"/>
      <c r="J97" s="552"/>
      <c r="K97" s="552"/>
      <c r="L97" s="552"/>
      <c r="M97" s="552"/>
      <c r="N97" s="552"/>
    </row>
    <row r="98" spans="1:14">
      <c r="B98" s="567"/>
      <c r="C98" s="567"/>
      <c r="D98" s="567"/>
      <c r="E98" s="567"/>
      <c r="F98" s="567"/>
      <c r="G98" s="567"/>
      <c r="H98" s="164"/>
      <c r="I98" s="164"/>
      <c r="J98" s="552"/>
      <c r="K98" s="552"/>
      <c r="L98" s="552"/>
      <c r="M98" s="552"/>
      <c r="N98" s="552"/>
    </row>
    <row r="99" spans="1:14">
      <c r="B99" s="576"/>
      <c r="C99" s="576"/>
      <c r="D99" s="576"/>
      <c r="E99" s="576"/>
      <c r="F99" s="576"/>
      <c r="G99" s="576"/>
      <c r="H99" s="552"/>
      <c r="I99" s="552"/>
      <c r="J99" s="552"/>
      <c r="K99" s="552"/>
      <c r="L99" s="552"/>
      <c r="M99" s="552"/>
      <c r="N99" s="552"/>
    </row>
    <row r="100" spans="1:14">
      <c r="B100" s="576"/>
      <c r="C100" s="576"/>
      <c r="D100" s="576"/>
      <c r="E100" s="576"/>
      <c r="F100" s="576"/>
      <c r="G100" s="576"/>
      <c r="H100" s="552"/>
      <c r="I100" s="552"/>
      <c r="J100" s="552"/>
      <c r="K100" s="552"/>
      <c r="L100" s="552"/>
      <c r="M100" s="552"/>
      <c r="N100" s="552"/>
    </row>
    <row r="101" spans="1:14">
      <c r="B101" s="552"/>
      <c r="C101" s="552"/>
      <c r="D101" s="552"/>
      <c r="E101" s="552"/>
      <c r="F101" s="552"/>
      <c r="G101" s="552"/>
      <c r="H101" s="552"/>
      <c r="I101" s="552"/>
      <c r="J101" s="552"/>
      <c r="K101" s="552"/>
      <c r="L101" s="552"/>
      <c r="M101" s="552"/>
      <c r="N101" s="552"/>
    </row>
    <row r="102" spans="1:14">
      <c r="B102" s="552"/>
      <c r="C102" s="552"/>
      <c r="D102" s="552"/>
      <c r="E102" s="552"/>
      <c r="F102" s="552"/>
      <c r="G102" s="552"/>
      <c r="H102" s="552"/>
      <c r="I102" s="552"/>
      <c r="J102" s="552"/>
      <c r="K102" s="552"/>
      <c r="L102" s="552"/>
      <c r="M102" s="552"/>
      <c r="N102" s="552"/>
    </row>
    <row r="103" spans="1:14">
      <c r="B103" s="552"/>
      <c r="C103" s="552"/>
      <c r="D103" s="552"/>
      <c r="E103" s="552"/>
      <c r="F103" s="552"/>
      <c r="G103" s="552"/>
      <c r="H103" s="552"/>
      <c r="I103" s="552"/>
      <c r="J103" s="552"/>
      <c r="K103" s="552"/>
      <c r="L103" s="552"/>
      <c r="M103" s="552"/>
      <c r="N103" s="552"/>
    </row>
    <row r="105" spans="1:14">
      <c r="B105" s="734"/>
      <c r="C105" s="734"/>
      <c r="D105" s="734"/>
      <c r="E105" s="734"/>
      <c r="F105" s="734"/>
      <c r="G105" s="734"/>
    </row>
  </sheetData>
  <mergeCells count="54">
    <mergeCell ref="D68:F68"/>
    <mergeCell ref="H49:J49"/>
    <mergeCell ref="L49:M49"/>
    <mergeCell ref="H51:J51"/>
    <mergeCell ref="L51:M51"/>
    <mergeCell ref="D89:G89"/>
    <mergeCell ref="G91:M94"/>
    <mergeCell ref="B105:G105"/>
    <mergeCell ref="D69:G69"/>
    <mergeCell ref="D70:G70"/>
    <mergeCell ref="H79:K79"/>
    <mergeCell ref="H80:K80"/>
    <mergeCell ref="H81:K81"/>
    <mergeCell ref="B82:E82"/>
    <mergeCell ref="B66:G66"/>
    <mergeCell ref="D67:F67"/>
    <mergeCell ref="L67:N67"/>
    <mergeCell ref="B55:D55"/>
    <mergeCell ref="B56:D56"/>
    <mergeCell ref="L5:N5"/>
    <mergeCell ref="D3:J3"/>
    <mergeCell ref="C6:F6"/>
    <mergeCell ref="H6:J6"/>
    <mergeCell ref="D7:F7"/>
    <mergeCell ref="B44:E44"/>
    <mergeCell ref="B2:I2"/>
    <mergeCell ref="F4:H4"/>
    <mergeCell ref="C5:F5"/>
    <mergeCell ref="H5:J5"/>
    <mergeCell ref="B9:E9"/>
    <mergeCell ref="G9:L9"/>
    <mergeCell ref="D18:E18"/>
    <mergeCell ref="L11:N11"/>
    <mergeCell ref="L19:N19"/>
    <mergeCell ref="L21:N21"/>
    <mergeCell ref="L35:M35"/>
    <mergeCell ref="H35:J35"/>
    <mergeCell ref="L33:M33"/>
    <mergeCell ref="H33:J33"/>
    <mergeCell ref="L31:M31"/>
    <mergeCell ref="L13:N13"/>
    <mergeCell ref="L15:N15"/>
    <mergeCell ref="L17:N17"/>
    <mergeCell ref="H47:J47"/>
    <mergeCell ref="L47:M47"/>
    <mergeCell ref="H31:J31"/>
    <mergeCell ref="L23:M23"/>
    <mergeCell ref="H23:J23"/>
    <mergeCell ref="L29:M29"/>
    <mergeCell ref="H29:J29"/>
    <mergeCell ref="L27:M27"/>
    <mergeCell ref="H27:J27"/>
    <mergeCell ref="L25:M25"/>
    <mergeCell ref="H25:J25"/>
  </mergeCells>
  <pageMargins left="0" right="0" top="0.74803149606299202" bottom="0" header="0.31496062992126" footer="0.31496062992126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93E8-0718-42C5-85A2-56594336E4C3}">
  <dimension ref="A2:N104"/>
  <sheetViews>
    <sheetView showWhiteSpace="0" view="pageLayout" topLeftCell="A7" zoomScale="115" zoomScaleNormal="100" zoomScalePageLayoutView="115" workbookViewId="0">
      <selection activeCell="G63" sqref="G63"/>
    </sheetView>
  </sheetViews>
  <sheetFormatPr baseColWidth="10" defaultColWidth="11" defaultRowHeight="15"/>
  <cols>
    <col min="1" max="1" width="8.140625" style="236" customWidth="1"/>
    <col min="2" max="2" width="11.85546875" style="236" customWidth="1"/>
    <col min="3" max="3" width="7.5703125" style="236" customWidth="1"/>
    <col min="4" max="4" width="9.140625" style="236" customWidth="1"/>
    <col min="5" max="5" width="7.85546875" style="236" customWidth="1"/>
    <col min="6" max="6" width="6.85546875" style="236" customWidth="1"/>
    <col min="7" max="7" width="11.140625" style="236" customWidth="1"/>
    <col min="8" max="8" width="2.140625" style="236" customWidth="1"/>
    <col min="9" max="9" width="0.28515625" style="236" hidden="1" customWidth="1"/>
    <col min="10" max="10" width="5.140625" style="236" customWidth="1"/>
    <col min="11" max="11" width="5.85546875" style="236" customWidth="1"/>
    <col min="12" max="12" width="7.85546875" style="236" customWidth="1"/>
    <col min="13" max="13" width="2.85546875" style="236" customWidth="1"/>
    <col min="14" max="14" width="4.85546875" style="236" customWidth="1"/>
    <col min="15" max="16384" width="11" style="236"/>
  </cols>
  <sheetData>
    <row r="2" spans="1:14" ht="27.75" customHeight="1">
      <c r="A2" s="235"/>
      <c r="B2" s="772"/>
      <c r="C2" s="772"/>
      <c r="D2" s="772"/>
      <c r="E2" s="772"/>
      <c r="F2" s="772"/>
      <c r="G2" s="772"/>
      <c r="H2" s="772"/>
      <c r="I2" s="772"/>
    </row>
    <row r="3" spans="1:14" ht="23.25" customHeight="1">
      <c r="A3" s="235"/>
      <c r="B3" s="420"/>
      <c r="C3" s="420"/>
      <c r="D3" s="777" t="s">
        <v>377</v>
      </c>
      <c r="E3" s="777"/>
      <c r="F3" s="777"/>
      <c r="G3" s="777"/>
      <c r="H3" s="777"/>
      <c r="I3" s="420"/>
    </row>
    <row r="4" spans="1:14" ht="18" customHeight="1">
      <c r="A4" s="235"/>
      <c r="B4" s="237"/>
      <c r="C4" s="237"/>
      <c r="D4" s="237"/>
      <c r="E4" s="237"/>
      <c r="F4" s="773"/>
      <c r="G4" s="773"/>
      <c r="H4" s="773"/>
      <c r="I4" s="237"/>
    </row>
    <row r="5" spans="1:14" ht="18" customHeight="1">
      <c r="A5" s="235"/>
      <c r="B5" s="238" t="s">
        <v>1</v>
      </c>
      <c r="C5" s="774"/>
      <c r="D5" s="774"/>
      <c r="E5" s="774"/>
      <c r="F5" s="774"/>
      <c r="G5" s="774" t="s">
        <v>228</v>
      </c>
      <c r="H5" s="774"/>
      <c r="I5" s="774"/>
      <c r="J5" s="774"/>
      <c r="K5" s="239" t="s">
        <v>2</v>
      </c>
      <c r="L5" s="766">
        <v>46191</v>
      </c>
      <c r="M5" s="767"/>
      <c r="N5" s="768"/>
    </row>
    <row r="6" spans="1:14" ht="15" customHeight="1">
      <c r="A6" s="235"/>
      <c r="B6" s="238" t="s">
        <v>3</v>
      </c>
      <c r="C6" s="771" t="s">
        <v>333</v>
      </c>
      <c r="D6" s="771"/>
      <c r="E6" s="771"/>
      <c r="F6" s="771"/>
      <c r="G6" s="240" t="s">
        <v>169</v>
      </c>
      <c r="H6" s="772"/>
      <c r="I6" s="772"/>
      <c r="J6" s="772"/>
    </row>
    <row r="7" spans="1:14" ht="14.25" customHeight="1">
      <c r="A7" s="235"/>
      <c r="B7" s="241"/>
      <c r="C7" s="241"/>
      <c r="D7" s="769"/>
      <c r="E7" s="769"/>
      <c r="F7" s="769"/>
      <c r="G7" s="242"/>
      <c r="H7" s="241"/>
      <c r="I7" s="237"/>
    </row>
    <row r="8" spans="1:14" ht="17.25" customHeight="1">
      <c r="A8" s="235"/>
      <c r="B8" s="243"/>
      <c r="C8" s="243"/>
      <c r="D8" s="770" t="s">
        <v>56</v>
      </c>
      <c r="E8" s="770"/>
      <c r="F8" s="770"/>
      <c r="G8" s="770"/>
      <c r="H8" s="243"/>
      <c r="I8" s="243"/>
      <c r="K8" s="243"/>
      <c r="L8" s="243"/>
    </row>
    <row r="9" spans="1:14">
      <c r="A9" s="235"/>
      <c r="B9" s="242"/>
      <c r="C9" s="242"/>
      <c r="D9" s="242"/>
      <c r="E9" s="237"/>
      <c r="F9" s="237"/>
      <c r="I9" s="244"/>
      <c r="J9" s="244"/>
      <c r="L9" s="244"/>
      <c r="M9" s="244"/>
      <c r="N9" s="244"/>
    </row>
    <row r="10" spans="1:14" ht="16.5">
      <c r="A10" s="235"/>
      <c r="B10" s="245"/>
      <c r="C10" s="246"/>
      <c r="D10" s="247" t="s">
        <v>60</v>
      </c>
      <c r="E10" s="248"/>
      <c r="F10" s="482" t="s">
        <v>61</v>
      </c>
      <c r="G10" s="760" t="s">
        <v>205</v>
      </c>
      <c r="H10" s="760"/>
      <c r="I10" s="249"/>
      <c r="J10" s="761"/>
      <c r="K10" s="761"/>
      <c r="L10" s="249"/>
      <c r="M10" s="250"/>
      <c r="N10" s="251"/>
    </row>
    <row r="11" spans="1:14" ht="3.75" customHeight="1">
      <c r="A11" s="235"/>
      <c r="B11" s="252" t="s">
        <v>45</v>
      </c>
      <c r="C11" s="252"/>
      <c r="D11" s="247"/>
      <c r="E11" s="246"/>
      <c r="F11" s="483"/>
      <c r="G11" s="484"/>
      <c r="H11" s="485"/>
      <c r="I11" s="255"/>
      <c r="J11" s="254"/>
      <c r="K11" s="255"/>
      <c r="L11" s="255"/>
      <c r="M11" s="254"/>
      <c r="N11" s="244"/>
    </row>
    <row r="12" spans="1:14" ht="16.5">
      <c r="A12" s="235"/>
      <c r="B12" s="245"/>
      <c r="C12" s="245"/>
      <c r="D12" s="247" t="s">
        <v>65</v>
      </c>
      <c r="E12" s="248"/>
      <c r="F12" s="482" t="s">
        <v>61</v>
      </c>
      <c r="G12" s="760" t="s">
        <v>207</v>
      </c>
      <c r="H12" s="760"/>
      <c r="I12" s="249"/>
      <c r="J12" s="761"/>
      <c r="K12" s="761"/>
      <c r="L12" s="249"/>
      <c r="M12" s="250"/>
      <c r="N12" s="256"/>
    </row>
    <row r="13" spans="1:14" ht="6" customHeight="1">
      <c r="A13" s="235"/>
      <c r="B13" s="252" t="s">
        <v>50</v>
      </c>
      <c r="C13" s="252"/>
      <c r="D13" s="247"/>
      <c r="E13" s="246"/>
      <c r="F13" s="483"/>
      <c r="G13" s="484"/>
      <c r="H13" s="485"/>
      <c r="I13" s="255"/>
      <c r="J13" s="254"/>
      <c r="K13" s="255"/>
      <c r="L13" s="255"/>
      <c r="M13" s="254"/>
      <c r="N13" s="244"/>
    </row>
    <row r="14" spans="1:14" ht="16.5">
      <c r="A14" s="235"/>
      <c r="B14" s="245"/>
      <c r="C14" s="245"/>
      <c r="D14" s="247" t="s">
        <v>69</v>
      </c>
      <c r="E14" s="248"/>
      <c r="F14" s="482" t="s">
        <v>61</v>
      </c>
      <c r="G14" s="760" t="s">
        <v>209</v>
      </c>
      <c r="H14" s="760"/>
      <c r="I14" s="257"/>
      <c r="J14" s="761"/>
      <c r="K14" s="761"/>
      <c r="L14" s="257"/>
      <c r="M14" s="250"/>
      <c r="N14" s="256"/>
    </row>
    <row r="15" spans="1:14" ht="6" customHeight="1">
      <c r="A15" s="235"/>
      <c r="B15" s="245"/>
      <c r="C15" s="245"/>
      <c r="D15" s="247"/>
      <c r="E15" s="253"/>
      <c r="F15" s="483"/>
      <c r="G15" s="484"/>
      <c r="H15" s="486"/>
      <c r="I15" s="259"/>
      <c r="J15" s="254"/>
      <c r="K15" s="258"/>
      <c r="L15" s="259"/>
      <c r="M15" s="254"/>
      <c r="N15" s="244"/>
    </row>
    <row r="16" spans="1:14" ht="16.5">
      <c r="A16" s="235"/>
      <c r="B16" s="245"/>
      <c r="C16" s="252"/>
      <c r="D16" s="247" t="s">
        <v>327</v>
      </c>
      <c r="E16" s="248"/>
      <c r="F16" s="482" t="s">
        <v>58</v>
      </c>
      <c r="G16" s="762" t="s">
        <v>206</v>
      </c>
      <c r="H16" s="762"/>
      <c r="I16" s="260"/>
      <c r="J16" s="763"/>
      <c r="K16" s="763"/>
      <c r="L16" s="261"/>
      <c r="M16" s="250"/>
      <c r="N16" s="256"/>
    </row>
    <row r="17" spans="1:14" ht="5.25" customHeight="1">
      <c r="A17" s="235"/>
      <c r="B17" s="252"/>
      <c r="C17" s="252"/>
      <c r="D17" s="247"/>
      <c r="E17" s="246"/>
      <c r="F17" s="483"/>
      <c r="G17" s="487"/>
      <c r="H17" s="485"/>
      <c r="I17" s="260"/>
      <c r="J17" s="260"/>
      <c r="K17" s="255"/>
      <c r="L17" s="261"/>
      <c r="M17" s="261"/>
      <c r="N17" s="244"/>
    </row>
    <row r="18" spans="1:14" ht="16.5">
      <c r="A18" s="235"/>
      <c r="B18" s="245"/>
      <c r="C18" s="252"/>
      <c r="D18" s="247" t="s">
        <v>77</v>
      </c>
      <c r="E18" s="248"/>
      <c r="F18" s="482" t="s">
        <v>58</v>
      </c>
      <c r="G18" s="762" t="s">
        <v>208</v>
      </c>
      <c r="H18" s="762"/>
      <c r="I18" s="260"/>
      <c r="J18" s="763"/>
      <c r="K18" s="763"/>
      <c r="L18" s="261"/>
      <c r="M18" s="250"/>
      <c r="N18" s="256"/>
    </row>
    <row r="19" spans="1:14" ht="5.25" customHeight="1">
      <c r="A19" s="235"/>
      <c r="B19" s="262"/>
      <c r="C19" s="252"/>
      <c r="D19" s="247"/>
      <c r="E19" s="246"/>
      <c r="F19" s="483"/>
      <c r="G19" s="483"/>
      <c r="H19" s="485"/>
      <c r="I19" s="253"/>
      <c r="J19" s="253"/>
      <c r="K19" s="255"/>
      <c r="L19" s="253"/>
      <c r="M19" s="253"/>
      <c r="N19" s="244"/>
    </row>
    <row r="20" spans="1:14" ht="16.5">
      <c r="A20" s="235"/>
      <c r="B20" s="263" t="s">
        <v>173</v>
      </c>
      <c r="C20" s="263"/>
      <c r="D20" s="264" t="s">
        <v>81</v>
      </c>
      <c r="E20" s="265"/>
      <c r="F20" s="482" t="s">
        <v>58</v>
      </c>
      <c r="G20" s="764" t="s">
        <v>82</v>
      </c>
      <c r="H20" s="764"/>
      <c r="I20" s="765"/>
      <c r="J20" s="765"/>
      <c r="K20" s="249"/>
      <c r="L20" s="775"/>
      <c r="M20" s="776"/>
      <c r="N20" s="266"/>
    </row>
    <row r="21" spans="1:14" ht="4.5" customHeight="1">
      <c r="A21" s="235"/>
      <c r="B21" s="263"/>
      <c r="C21" s="263"/>
      <c r="D21" s="262"/>
      <c r="E21" s="237"/>
      <c r="F21" s="237"/>
      <c r="G21" s="267"/>
      <c r="H21" s="268"/>
      <c r="I21" s="269"/>
      <c r="J21" s="270"/>
      <c r="K21" s="268"/>
      <c r="L21" s="269"/>
      <c r="M21" s="256"/>
      <c r="N21" s="244"/>
    </row>
    <row r="22" spans="1:14">
      <c r="A22" s="235"/>
      <c r="B22" s="263" t="s">
        <v>178</v>
      </c>
      <c r="C22" s="263"/>
      <c r="D22" s="271" t="s">
        <v>58</v>
      </c>
      <c r="E22" s="272" t="s">
        <v>179</v>
      </c>
      <c r="F22" s="273"/>
      <c r="G22" s="263" t="s">
        <v>79</v>
      </c>
      <c r="H22" s="750"/>
      <c r="I22" s="750"/>
      <c r="J22" s="750"/>
      <c r="K22" s="271" t="s">
        <v>21</v>
      </c>
      <c r="L22" s="750" t="s">
        <v>196</v>
      </c>
      <c r="M22" s="750"/>
      <c r="N22" s="256"/>
    </row>
    <row r="23" spans="1:14" ht="5.25" customHeight="1">
      <c r="A23" s="235"/>
      <c r="B23" s="263"/>
      <c r="C23" s="263"/>
      <c r="D23" s="274"/>
      <c r="E23" s="272"/>
      <c r="F23" s="273"/>
      <c r="G23" s="263"/>
      <c r="H23" s="274"/>
      <c r="I23" s="274"/>
      <c r="J23" s="275"/>
      <c r="K23" s="276"/>
      <c r="L23" s="272"/>
      <c r="M23" s="277"/>
      <c r="N23" s="244"/>
    </row>
    <row r="24" spans="1:14">
      <c r="A24" s="235"/>
      <c r="B24" s="263" t="s">
        <v>181</v>
      </c>
      <c r="C24" s="263">
        <f>C20-C22</f>
        <v>0</v>
      </c>
      <c r="D24" s="271" t="s">
        <v>58</v>
      </c>
      <c r="E24" s="272" t="s">
        <v>182</v>
      </c>
      <c r="F24" s="273"/>
      <c r="G24" s="263" t="s">
        <v>89</v>
      </c>
      <c r="H24" s="750"/>
      <c r="I24" s="750"/>
      <c r="J24" s="750"/>
      <c r="K24" s="271" t="s">
        <v>58</v>
      </c>
      <c r="L24" s="750" t="s">
        <v>197</v>
      </c>
      <c r="M24" s="750"/>
      <c r="N24" s="256"/>
    </row>
    <row r="25" spans="1:14" ht="5.25" customHeight="1">
      <c r="A25" s="235"/>
      <c r="B25" s="263"/>
      <c r="C25" s="263"/>
      <c r="D25" s="276"/>
      <c r="E25" s="272"/>
      <c r="F25" s="273"/>
      <c r="G25" s="263"/>
      <c r="H25" s="274"/>
      <c r="I25" s="274"/>
      <c r="J25" s="275"/>
      <c r="K25" s="276"/>
      <c r="L25" s="272"/>
      <c r="M25" s="277"/>
      <c r="N25" s="244"/>
    </row>
    <row r="26" spans="1:14">
      <c r="A26" s="235"/>
      <c r="B26" s="263" t="s">
        <v>185</v>
      </c>
      <c r="C26" s="263"/>
      <c r="D26" s="271" t="s">
        <v>100</v>
      </c>
      <c r="E26" s="272" t="s">
        <v>186</v>
      </c>
      <c r="G26" s="263" t="s">
        <v>198</v>
      </c>
      <c r="H26" s="750"/>
      <c r="I26" s="750"/>
      <c r="J26" s="750"/>
      <c r="K26" s="271" t="s">
        <v>58</v>
      </c>
      <c r="L26" s="750" t="s">
        <v>94</v>
      </c>
      <c r="M26" s="750"/>
      <c r="N26" s="256"/>
    </row>
    <row r="27" spans="1:14" ht="6" customHeight="1">
      <c r="A27" s="235"/>
      <c r="B27" s="263"/>
      <c r="C27" s="263"/>
      <c r="D27" s="276"/>
      <c r="E27" s="272"/>
      <c r="G27" s="263"/>
      <c r="H27" s="274"/>
      <c r="I27" s="274"/>
      <c r="J27" s="275"/>
      <c r="K27" s="276"/>
      <c r="L27" s="272"/>
      <c r="M27" s="277"/>
      <c r="N27" s="244"/>
    </row>
    <row r="28" spans="1:14">
      <c r="A28" s="235"/>
      <c r="B28" s="263" t="s">
        <v>189</v>
      </c>
      <c r="C28" s="263"/>
      <c r="D28" s="271" t="s">
        <v>100</v>
      </c>
      <c r="E28" s="272" t="s">
        <v>190</v>
      </c>
      <c r="G28" s="263" t="s">
        <v>199</v>
      </c>
      <c r="H28" s="750"/>
      <c r="I28" s="750"/>
      <c r="J28" s="750"/>
      <c r="K28" s="271" t="s">
        <v>58</v>
      </c>
      <c r="L28" s="750" t="s">
        <v>200</v>
      </c>
      <c r="M28" s="750"/>
      <c r="N28" s="256"/>
    </row>
    <row r="29" spans="1:14" ht="6" customHeight="1">
      <c r="A29" s="235"/>
      <c r="B29" s="263"/>
      <c r="C29" s="263"/>
      <c r="D29" s="276"/>
      <c r="E29" s="272"/>
      <c r="G29" s="263"/>
      <c r="H29" s="274"/>
      <c r="I29" s="274"/>
      <c r="J29" s="275"/>
      <c r="K29" s="276"/>
      <c r="L29" s="272"/>
      <c r="M29" s="277"/>
      <c r="N29" s="244"/>
    </row>
    <row r="30" spans="1:14">
      <c r="A30" s="235"/>
      <c r="B30" s="263" t="s">
        <v>191</v>
      </c>
      <c r="C30" s="263"/>
      <c r="D30" s="271" t="s">
        <v>100</v>
      </c>
      <c r="E30" s="272" t="s">
        <v>192</v>
      </c>
      <c r="G30" s="263" t="s">
        <v>193</v>
      </c>
      <c r="H30" s="750"/>
      <c r="I30" s="750"/>
      <c r="J30" s="750"/>
      <c r="K30" s="271" t="s">
        <v>100</v>
      </c>
      <c r="L30" s="750" t="s">
        <v>190</v>
      </c>
      <c r="M30" s="750"/>
      <c r="N30" s="256"/>
    </row>
    <row r="31" spans="1:14" ht="4.5" customHeight="1">
      <c r="A31" s="235"/>
      <c r="B31" s="278"/>
      <c r="C31" s="278"/>
      <c r="D31" s="278"/>
      <c r="E31" s="278"/>
      <c r="F31" s="241"/>
      <c r="G31" s="278"/>
      <c r="H31" s="278"/>
      <c r="I31" s="274"/>
      <c r="J31" s="275"/>
      <c r="K31" s="275"/>
      <c r="L31" s="277"/>
      <c r="M31" s="277"/>
      <c r="N31" s="244"/>
    </row>
    <row r="32" spans="1:14">
      <c r="A32" s="235"/>
      <c r="B32" s="263" t="s">
        <v>201</v>
      </c>
      <c r="C32" s="263"/>
      <c r="D32" s="271" t="s">
        <v>202</v>
      </c>
      <c r="E32" s="272" t="s">
        <v>203</v>
      </c>
      <c r="F32" s="279"/>
      <c r="G32" s="263"/>
      <c r="H32" s="750"/>
      <c r="I32" s="750"/>
      <c r="J32" s="750"/>
      <c r="K32" s="271"/>
      <c r="L32" s="750"/>
      <c r="M32" s="750"/>
      <c r="N32" s="256"/>
    </row>
    <row r="33" spans="1:14" ht="6" customHeight="1">
      <c r="A33" s="235"/>
      <c r="B33" s="263"/>
      <c r="C33" s="263"/>
      <c r="D33" s="276"/>
      <c r="E33" s="272"/>
      <c r="G33" s="263"/>
      <c r="H33" s="274"/>
      <c r="I33" s="274"/>
      <c r="J33" s="275"/>
      <c r="K33" s="276"/>
      <c r="L33" s="272"/>
      <c r="M33" s="277"/>
      <c r="N33" s="244"/>
    </row>
    <row r="34" spans="1:14">
      <c r="A34" s="235"/>
      <c r="B34" s="263" t="s">
        <v>204</v>
      </c>
      <c r="C34" s="263"/>
      <c r="D34" s="271" t="s">
        <v>100</v>
      </c>
      <c r="E34" s="272" t="s">
        <v>94</v>
      </c>
      <c r="F34" s="279"/>
      <c r="G34" s="263"/>
      <c r="H34" s="750"/>
      <c r="I34" s="750"/>
      <c r="J34" s="750"/>
      <c r="K34" s="271"/>
      <c r="L34" s="750"/>
      <c r="M34" s="750"/>
      <c r="N34" s="256"/>
    </row>
    <row r="35" spans="1:14" ht="17.25" customHeight="1">
      <c r="A35" s="235"/>
      <c r="B35" s="278"/>
      <c r="C35" s="278"/>
      <c r="D35" s="280" t="s">
        <v>56</v>
      </c>
      <c r="E35" s="280"/>
      <c r="F35" s="280"/>
      <c r="G35" s="280"/>
      <c r="H35" s="280"/>
      <c r="I35" s="274"/>
      <c r="J35" s="275"/>
      <c r="K35" s="275"/>
      <c r="L35" s="281"/>
      <c r="M35" s="281"/>
      <c r="N35" s="244"/>
    </row>
    <row r="36" spans="1:14" ht="10.5" customHeight="1">
      <c r="A36" s="235"/>
      <c r="B36" s="274"/>
      <c r="C36" s="274"/>
      <c r="D36" s="274"/>
      <c r="E36" s="278"/>
      <c r="F36" s="274"/>
      <c r="G36" s="274"/>
      <c r="H36" s="274"/>
      <c r="I36" s="274"/>
      <c r="J36" s="275"/>
      <c r="K36" s="275"/>
      <c r="L36" s="281"/>
      <c r="M36" s="281"/>
      <c r="N36" s="244"/>
    </row>
    <row r="37" spans="1:14">
      <c r="A37" s="235"/>
      <c r="B37" s="263" t="s">
        <v>60</v>
      </c>
      <c r="C37" s="263"/>
      <c r="D37" s="271" t="s">
        <v>61</v>
      </c>
      <c r="E37" s="277" t="s">
        <v>205</v>
      </c>
      <c r="F37" s="282"/>
      <c r="G37" s="263" t="s">
        <v>73</v>
      </c>
      <c r="H37" s="283"/>
      <c r="I37" s="274"/>
      <c r="J37" s="275"/>
      <c r="K37" s="271" t="s">
        <v>58</v>
      </c>
      <c r="L37" s="281" t="s">
        <v>206</v>
      </c>
      <c r="M37" s="281"/>
      <c r="N37" s="256"/>
    </row>
    <row r="38" spans="1:14" ht="4.5" customHeight="1">
      <c r="A38" s="235"/>
      <c r="B38" s="263"/>
      <c r="C38" s="263"/>
      <c r="D38" s="274"/>
      <c r="E38" s="277"/>
      <c r="F38" s="275"/>
      <c r="G38" s="263"/>
      <c r="H38" s="283"/>
      <c r="I38" s="274"/>
      <c r="J38" s="275"/>
      <c r="K38" s="274"/>
      <c r="L38" s="281"/>
      <c r="M38" s="281"/>
      <c r="N38" s="244"/>
    </row>
    <row r="39" spans="1:14">
      <c r="A39" s="235"/>
      <c r="B39" s="263" t="s">
        <v>65</v>
      </c>
      <c r="C39" s="263"/>
      <c r="D39" s="271" t="s">
        <v>61</v>
      </c>
      <c r="E39" s="277" t="s">
        <v>207</v>
      </c>
      <c r="F39" s="282"/>
      <c r="G39" s="263" t="s">
        <v>77</v>
      </c>
      <c r="H39" s="283"/>
      <c r="I39" s="274"/>
      <c r="J39" s="275"/>
      <c r="K39" s="271" t="s">
        <v>58</v>
      </c>
      <c r="L39" s="281" t="s">
        <v>208</v>
      </c>
      <c r="M39" s="281"/>
      <c r="N39" s="256"/>
    </row>
    <row r="40" spans="1:14" ht="5.25" customHeight="1">
      <c r="A40" s="235"/>
      <c r="B40" s="263"/>
      <c r="C40" s="263"/>
      <c r="D40" s="274"/>
      <c r="E40" s="277"/>
      <c r="F40" s="275"/>
      <c r="G40" s="274"/>
      <c r="H40" s="283"/>
      <c r="I40" s="274"/>
      <c r="J40" s="275"/>
      <c r="K40" s="276"/>
      <c r="L40" s="272"/>
      <c r="M40" s="272"/>
      <c r="N40" s="244"/>
    </row>
    <row r="41" spans="1:14">
      <c r="A41" s="235"/>
      <c r="B41" s="263" t="s">
        <v>69</v>
      </c>
      <c r="C41" s="263"/>
      <c r="D41" s="271" t="s">
        <v>61</v>
      </c>
      <c r="E41" s="277" t="s">
        <v>209</v>
      </c>
      <c r="F41" s="282"/>
      <c r="G41" s="263" t="s">
        <v>81</v>
      </c>
      <c r="H41" s="283"/>
      <c r="I41" s="274"/>
      <c r="J41" s="275"/>
      <c r="K41" s="271" t="s">
        <v>58</v>
      </c>
      <c r="L41" s="281" t="s">
        <v>82</v>
      </c>
      <c r="M41" s="281"/>
      <c r="N41" s="256"/>
    </row>
    <row r="42" spans="1:14" ht="5.25" customHeight="1">
      <c r="A42" s="235"/>
      <c r="B42" s="263"/>
      <c r="C42" s="263"/>
      <c r="D42" s="276"/>
      <c r="E42" s="272"/>
      <c r="F42" s="275"/>
      <c r="G42" s="284"/>
      <c r="H42" s="283"/>
      <c r="I42" s="274"/>
      <c r="J42" s="275"/>
      <c r="K42" s="276"/>
      <c r="L42" s="274"/>
      <c r="M42" s="281"/>
      <c r="N42" s="244"/>
    </row>
    <row r="43" spans="1:14" ht="6.75" customHeight="1">
      <c r="A43" s="235"/>
      <c r="B43" s="750"/>
      <c r="C43" s="750"/>
      <c r="D43" s="750"/>
      <c r="E43" s="750"/>
      <c r="F43" s="272"/>
      <c r="G43" s="283"/>
      <c r="H43" s="285"/>
      <c r="I43" s="285"/>
      <c r="J43" s="285"/>
      <c r="K43" s="285"/>
      <c r="L43" s="285"/>
      <c r="M43" s="285"/>
      <c r="N43" s="286"/>
    </row>
    <row r="44" spans="1:14" ht="17.25" customHeight="1">
      <c r="A44" s="235"/>
      <c r="B44" s="278"/>
      <c r="C44" s="278"/>
      <c r="D44" s="280" t="s">
        <v>85</v>
      </c>
      <c r="E44" s="280"/>
      <c r="F44" s="280"/>
      <c r="G44" s="280"/>
      <c r="H44" s="280"/>
      <c r="I44" s="274"/>
      <c r="J44" s="275"/>
      <c r="K44" s="275"/>
      <c r="L44" s="281"/>
      <c r="M44" s="281"/>
      <c r="N44" s="244"/>
    </row>
    <row r="45" spans="1:14" ht="10.5" customHeight="1">
      <c r="A45" s="235"/>
      <c r="B45" s="274"/>
      <c r="C45" s="274"/>
      <c r="D45" s="274"/>
      <c r="E45" s="278"/>
      <c r="F45" s="274"/>
      <c r="G45" s="274"/>
      <c r="H45" s="274"/>
      <c r="I45" s="274"/>
      <c r="J45" s="275"/>
      <c r="K45" s="275"/>
      <c r="L45" s="281"/>
      <c r="M45" s="281"/>
      <c r="N45" s="244"/>
    </row>
    <row r="46" spans="1:14">
      <c r="A46" s="235"/>
      <c r="B46" s="263" t="s">
        <v>89</v>
      </c>
      <c r="C46" s="263"/>
      <c r="D46" s="271" t="s">
        <v>58</v>
      </c>
      <c r="E46" s="285" t="s">
        <v>90</v>
      </c>
      <c r="F46" s="285"/>
      <c r="G46" s="263" t="s">
        <v>97</v>
      </c>
      <c r="H46" s="752"/>
      <c r="I46" s="752"/>
      <c r="J46" s="752"/>
      <c r="K46" s="271" t="s">
        <v>210</v>
      </c>
      <c r="L46" s="750" t="s">
        <v>98</v>
      </c>
      <c r="M46" s="750"/>
      <c r="N46" s="256"/>
    </row>
    <row r="47" spans="1:14" ht="4.5" customHeight="1">
      <c r="A47" s="235"/>
      <c r="B47" s="263"/>
      <c r="C47" s="263"/>
      <c r="D47" s="276"/>
      <c r="E47" s="272"/>
      <c r="F47" s="277"/>
      <c r="G47" s="263"/>
      <c r="H47" s="283"/>
      <c r="I47" s="274"/>
      <c r="J47" s="275"/>
      <c r="K47" s="274"/>
      <c r="L47" s="272"/>
      <c r="M47" s="277"/>
      <c r="N47" s="244"/>
    </row>
    <row r="48" spans="1:14">
      <c r="A48" s="235"/>
      <c r="B48" s="263" t="s">
        <v>93</v>
      </c>
      <c r="C48" s="263"/>
      <c r="D48" s="271" t="s">
        <v>58</v>
      </c>
      <c r="E48" s="285" t="s">
        <v>94</v>
      </c>
      <c r="F48" s="285"/>
      <c r="G48" s="263" t="s">
        <v>102</v>
      </c>
      <c r="H48" s="752" t="e">
        <f>B46-G46-G50</f>
        <v>#VALUE!</v>
      </c>
      <c r="I48" s="752"/>
      <c r="J48" s="752"/>
      <c r="K48" s="271" t="s">
        <v>210</v>
      </c>
      <c r="L48" s="750" t="s">
        <v>103</v>
      </c>
      <c r="M48" s="750"/>
      <c r="N48" s="256"/>
    </row>
    <row r="49" spans="1:14" ht="5.25" customHeight="1">
      <c r="A49" s="235"/>
      <c r="B49" s="263"/>
      <c r="C49" s="263"/>
      <c r="D49" s="274"/>
      <c r="E49" s="277"/>
      <c r="F49" s="275"/>
      <c r="G49" s="278"/>
      <c r="H49" s="283"/>
      <c r="I49" s="274"/>
      <c r="J49" s="275"/>
      <c r="K49" s="276"/>
      <c r="L49" s="277"/>
      <c r="M49" s="277"/>
      <c r="N49" s="244"/>
    </row>
    <row r="50" spans="1:14" ht="4.5" customHeight="1">
      <c r="A50" s="235"/>
      <c r="B50" s="263"/>
      <c r="C50" s="263"/>
      <c r="D50" s="271"/>
      <c r="E50" s="277"/>
      <c r="F50" s="282"/>
      <c r="G50" s="263" t="s">
        <v>105</v>
      </c>
      <c r="H50" s="752" t="e">
        <f>B48/5</f>
        <v>#VALUE!</v>
      </c>
      <c r="I50" s="752"/>
      <c r="J50" s="752"/>
      <c r="K50" s="271" t="s">
        <v>210</v>
      </c>
      <c r="L50" s="750" t="s">
        <v>106</v>
      </c>
      <c r="M50" s="750"/>
      <c r="N50" s="256"/>
    </row>
    <row r="51" spans="1:14" ht="9.75" hidden="1" customHeight="1">
      <c r="A51" s="235"/>
      <c r="B51" s="274"/>
      <c r="C51" s="274"/>
      <c r="D51" s="272"/>
      <c r="E51" s="272"/>
      <c r="F51" s="278"/>
      <c r="G51" s="274"/>
      <c r="H51" s="285"/>
      <c r="I51" s="285"/>
      <c r="J51" s="285"/>
      <c r="K51" s="285"/>
      <c r="L51" s="285"/>
      <c r="M51" s="285"/>
      <c r="N51" s="286"/>
    </row>
    <row r="52" spans="1:14" ht="17.25" hidden="1" customHeight="1">
      <c r="A52" s="235"/>
      <c r="B52" s="278"/>
      <c r="C52" s="278"/>
      <c r="D52" s="280" t="s">
        <v>211</v>
      </c>
      <c r="E52" s="280"/>
      <c r="F52" s="280"/>
      <c r="G52" s="280"/>
      <c r="H52" s="280"/>
      <c r="I52" s="274"/>
      <c r="J52" s="275"/>
      <c r="K52" s="275" t="s">
        <v>84</v>
      </c>
      <c r="L52" s="281"/>
      <c r="M52" s="281"/>
      <c r="N52" s="244"/>
    </row>
    <row r="53" spans="1:14" ht="10.5" customHeight="1">
      <c r="A53" s="235"/>
      <c r="B53" s="274"/>
      <c r="C53" s="274"/>
      <c r="D53" s="274"/>
      <c r="E53" s="278"/>
      <c r="F53" s="274"/>
      <c r="G53" s="274"/>
      <c r="H53" s="274"/>
      <c r="I53" s="274"/>
      <c r="J53" s="275"/>
      <c r="K53" s="275"/>
      <c r="L53" s="281"/>
      <c r="M53" s="281"/>
      <c r="N53" s="244"/>
    </row>
    <row r="54" spans="1:14">
      <c r="A54" s="235"/>
      <c r="B54" s="753" t="s">
        <v>238</v>
      </c>
      <c r="C54" s="754"/>
      <c r="D54" s="755"/>
      <c r="E54" s="287">
        <v>0.20833333333333334</v>
      </c>
      <c r="F54" s="288"/>
      <c r="G54" s="289"/>
      <c r="H54" s="289"/>
      <c r="I54" s="290"/>
      <c r="J54" s="290"/>
      <c r="K54" s="291"/>
      <c r="L54" s="292"/>
      <c r="M54" s="292"/>
      <c r="N54" s="292"/>
    </row>
    <row r="55" spans="1:14" ht="14.25" customHeight="1">
      <c r="B55" s="753" t="s">
        <v>239</v>
      </c>
      <c r="C55" s="754"/>
      <c r="D55" s="755"/>
      <c r="E55" s="287">
        <v>0.29166666666666669</v>
      </c>
      <c r="F55" s="288"/>
      <c r="G55" s="289"/>
      <c r="H55" s="289"/>
      <c r="I55" s="290"/>
      <c r="J55" s="290"/>
      <c r="K55" s="293"/>
      <c r="L55" s="293"/>
      <c r="M55" s="293"/>
      <c r="N55" s="293"/>
    </row>
    <row r="56" spans="1:14">
      <c r="A56" s="235"/>
      <c r="B56" s="263" t="s">
        <v>212</v>
      </c>
      <c r="C56" s="263"/>
      <c r="D56" s="271" t="s">
        <v>100</v>
      </c>
      <c r="E56" s="285" t="s">
        <v>213</v>
      </c>
      <c r="F56" s="285"/>
      <c r="G56" s="263"/>
      <c r="H56" s="283"/>
      <c r="I56" s="274"/>
      <c r="J56" s="275"/>
      <c r="K56" s="263"/>
      <c r="L56" s="285"/>
      <c r="M56" s="285"/>
      <c r="N56" s="256"/>
    </row>
    <row r="57" spans="1:14" ht="5.25" customHeight="1">
      <c r="A57" s="235"/>
      <c r="B57" s="262"/>
      <c r="C57" s="262"/>
      <c r="D57" s="237"/>
      <c r="E57" s="256"/>
      <c r="G57" s="241"/>
      <c r="H57" s="294"/>
      <c r="I57" s="237"/>
      <c r="K57" s="295"/>
      <c r="L57" s="256"/>
      <c r="M57" s="256"/>
      <c r="N57" s="244"/>
    </row>
    <row r="58" spans="1:14">
      <c r="A58" s="235"/>
      <c r="B58" s="262"/>
      <c r="C58" s="262"/>
      <c r="D58" s="256"/>
      <c r="E58" s="256"/>
      <c r="F58" s="261"/>
      <c r="G58" s="262"/>
      <c r="H58" s="294"/>
      <c r="I58" s="237"/>
      <c r="K58" s="262"/>
      <c r="L58" s="296"/>
      <c r="M58" s="296"/>
      <c r="N58" s="256"/>
    </row>
    <row r="59" spans="1:14">
      <c r="A59" s="235"/>
      <c r="B59" s="297"/>
      <c r="C59" s="297"/>
      <c r="D59" s="298"/>
      <c r="E59" s="298"/>
      <c r="F59" s="299"/>
      <c r="G59" s="300"/>
      <c r="H59" s="286"/>
      <c r="I59" s="286"/>
      <c r="J59" s="286"/>
      <c r="K59" s="286"/>
      <c r="L59" s="286"/>
      <c r="M59" s="286"/>
      <c r="N59" s="286"/>
    </row>
    <row r="60" spans="1:14">
      <c r="A60" s="235"/>
      <c r="B60" s="297"/>
      <c r="C60" s="297"/>
      <c r="D60" s="298"/>
      <c r="E60" s="298"/>
      <c r="F60" s="299"/>
      <c r="G60" s="300"/>
      <c r="H60" s="274"/>
      <c r="I60" s="274"/>
    </row>
    <row r="61" spans="1:14">
      <c r="A61" s="235"/>
      <c r="B61" s="297"/>
      <c r="C61" s="297"/>
      <c r="D61" s="298"/>
      <c r="E61" s="298"/>
      <c r="F61" s="299"/>
      <c r="G61" s="300"/>
      <c r="H61" s="274"/>
      <c r="I61" s="274"/>
    </row>
    <row r="62" spans="1:14">
      <c r="A62" s="235"/>
      <c r="B62" s="297"/>
      <c r="C62" s="297"/>
      <c r="D62" s="298"/>
      <c r="E62" s="298"/>
      <c r="F62" s="299"/>
      <c r="G62" s="300"/>
      <c r="H62" s="274"/>
      <c r="I62" s="274"/>
    </row>
    <row r="63" spans="1:14" ht="29.25" customHeight="1">
      <c r="A63" s="235"/>
      <c r="B63" s="301"/>
      <c r="C63" s="301"/>
      <c r="D63" s="301"/>
      <c r="E63" s="301"/>
      <c r="F63" s="301"/>
      <c r="G63" s="301"/>
      <c r="H63" s="237"/>
      <c r="I63" s="274"/>
    </row>
    <row r="64" spans="1:14">
      <c r="A64" s="235"/>
      <c r="B64" s="297"/>
      <c r="C64" s="297"/>
      <c r="D64" s="297"/>
      <c r="E64" s="297"/>
      <c r="F64" s="297"/>
      <c r="G64" s="297"/>
      <c r="H64" s="297"/>
      <c r="I64" s="297"/>
    </row>
    <row r="65" spans="1:14">
      <c r="A65" s="235"/>
      <c r="B65" s="751" t="s">
        <v>0</v>
      </c>
      <c r="C65" s="751"/>
      <c r="D65" s="751"/>
      <c r="E65" s="751"/>
      <c r="F65" s="751"/>
      <c r="G65" s="751"/>
      <c r="H65" s="297"/>
      <c r="I65" s="297"/>
    </row>
    <row r="66" spans="1:14">
      <c r="A66" s="235"/>
      <c r="B66" s="302" t="s">
        <v>116</v>
      </c>
      <c r="C66" s="302"/>
      <c r="D66" s="756"/>
      <c r="E66" s="756"/>
      <c r="F66" s="756"/>
      <c r="G66" s="302" t="s">
        <v>117</v>
      </c>
      <c r="H66" s="303"/>
      <c r="I66" s="297"/>
      <c r="K66" s="239" t="s">
        <v>2</v>
      </c>
      <c r="L66" s="757">
        <f ca="1">NOW()</f>
        <v>46278.258565972224</v>
      </c>
      <c r="M66" s="758"/>
      <c r="N66" s="759"/>
    </row>
    <row r="67" spans="1:14">
      <c r="A67" s="235"/>
      <c r="B67" s="302" t="s">
        <v>118</v>
      </c>
      <c r="C67" s="302"/>
      <c r="D67" s="756"/>
      <c r="E67" s="756"/>
      <c r="F67" s="756"/>
      <c r="G67" s="302" t="s">
        <v>119</v>
      </c>
      <c r="H67" s="303"/>
      <c r="I67" s="297"/>
    </row>
    <row r="68" spans="1:14" ht="3.75" customHeight="1">
      <c r="A68" s="235"/>
      <c r="B68" s="297"/>
      <c r="C68" s="297"/>
      <c r="D68" s="751"/>
      <c r="E68" s="751"/>
      <c r="F68" s="751"/>
      <c r="G68" s="751"/>
      <c r="H68" s="297"/>
      <c r="I68" s="297"/>
    </row>
    <row r="69" spans="1:14">
      <c r="A69" s="235"/>
      <c r="B69" s="297"/>
      <c r="C69" s="297"/>
      <c r="D69" s="751" t="s">
        <v>126</v>
      </c>
      <c r="E69" s="751"/>
      <c r="F69" s="751"/>
      <c r="G69" s="751"/>
      <c r="H69" s="297"/>
      <c r="I69" s="297"/>
    </row>
    <row r="70" spans="1:14" ht="9" customHeight="1">
      <c r="A70" s="235"/>
      <c r="B70" s="297"/>
      <c r="C70" s="297"/>
      <c r="D70" s="302"/>
      <c r="E70" s="302"/>
      <c r="F70" s="302"/>
      <c r="G70" s="302"/>
      <c r="H70" s="297"/>
      <c r="I70" s="297"/>
    </row>
    <row r="71" spans="1:14">
      <c r="A71" s="235"/>
      <c r="B71" s="304" t="s">
        <v>127</v>
      </c>
      <c r="C71" s="304"/>
      <c r="D71" s="302"/>
      <c r="E71" s="302"/>
      <c r="F71" s="302"/>
      <c r="G71" s="302"/>
      <c r="H71" s="297"/>
      <c r="I71" s="297"/>
    </row>
    <row r="72" spans="1:14">
      <c r="A72" s="235"/>
      <c r="B72" s="305" t="s">
        <v>128</v>
      </c>
      <c r="C72" s="305"/>
      <c r="D72" s="306" t="s">
        <v>129</v>
      </c>
      <c r="E72" s="302"/>
      <c r="F72" s="302" t="s">
        <v>130</v>
      </c>
      <c r="G72" s="307">
        <v>1015</v>
      </c>
      <c r="H72" s="297"/>
      <c r="I72" s="297"/>
    </row>
    <row r="73" spans="1:14" ht="18.75" customHeight="1">
      <c r="A73" s="235"/>
      <c r="B73" s="305" t="s">
        <v>131</v>
      </c>
      <c r="C73" s="305"/>
      <c r="D73" s="308" t="s">
        <v>132</v>
      </c>
      <c r="E73" s="305"/>
      <c r="F73" s="305" t="s">
        <v>133</v>
      </c>
      <c r="G73" s="309" t="s">
        <v>134</v>
      </c>
      <c r="H73" s="302"/>
      <c r="I73" s="297"/>
    </row>
    <row r="74" spans="1:14">
      <c r="A74" s="235"/>
      <c r="B74" s="305" t="s">
        <v>135</v>
      </c>
      <c r="C74" s="305"/>
      <c r="D74" s="308" t="s">
        <v>136</v>
      </c>
      <c r="E74" s="305"/>
      <c r="F74" s="305" t="s">
        <v>137</v>
      </c>
      <c r="G74" s="309" t="s">
        <v>138</v>
      </c>
      <c r="H74" s="310"/>
      <c r="I74" s="297"/>
    </row>
    <row r="75" spans="1:14">
      <c r="A75" s="235"/>
      <c r="B75" s="305" t="s">
        <v>139</v>
      </c>
      <c r="C75" s="305"/>
      <c r="D75" s="308" t="s">
        <v>140</v>
      </c>
      <c r="E75" s="305"/>
      <c r="F75" s="311"/>
      <c r="G75" s="305"/>
      <c r="H75" s="297"/>
      <c r="I75" s="297"/>
    </row>
    <row r="76" spans="1:14">
      <c r="A76" s="235"/>
      <c r="B76" s="305"/>
      <c r="C76" s="305"/>
      <c r="D76" s="305"/>
      <c r="E76" s="305"/>
      <c r="F76" s="311"/>
      <c r="G76" s="305"/>
      <c r="H76" s="297"/>
      <c r="I76" s="297"/>
    </row>
    <row r="77" spans="1:14">
      <c r="A77" s="235"/>
      <c r="B77" s="312" t="s">
        <v>141</v>
      </c>
      <c r="C77" s="312"/>
      <c r="D77" s="302"/>
      <c r="E77" s="302"/>
      <c r="F77" s="302"/>
      <c r="G77" s="302"/>
      <c r="H77" s="297"/>
      <c r="I77" s="297"/>
    </row>
    <row r="78" spans="1:14">
      <c r="A78" s="235"/>
      <c r="B78" s="302" t="s">
        <v>142</v>
      </c>
      <c r="C78" s="302"/>
      <c r="D78" s="306" t="s">
        <v>143</v>
      </c>
      <c r="E78" s="302"/>
      <c r="F78" s="302" t="s">
        <v>144</v>
      </c>
      <c r="G78" s="313"/>
      <c r="H78" s="741" t="s">
        <v>143</v>
      </c>
      <c r="I78" s="742"/>
      <c r="J78" s="742"/>
      <c r="K78" s="743"/>
    </row>
    <row r="79" spans="1:14">
      <c r="A79" s="235"/>
      <c r="B79" s="314" t="s">
        <v>145</v>
      </c>
      <c r="C79" s="314"/>
      <c r="D79" s="306" t="s">
        <v>143</v>
      </c>
      <c r="E79" s="315"/>
      <c r="F79" s="316" t="s">
        <v>146</v>
      </c>
      <c r="G79" s="302"/>
      <c r="H79" s="741" t="s">
        <v>147</v>
      </c>
      <c r="I79" s="742"/>
      <c r="J79" s="742"/>
      <c r="K79" s="743"/>
    </row>
    <row r="80" spans="1:14">
      <c r="A80" s="235"/>
      <c r="B80" s="314" t="s">
        <v>148</v>
      </c>
      <c r="C80" s="314"/>
      <c r="D80" s="306" t="s">
        <v>143</v>
      </c>
      <c r="E80" s="316"/>
      <c r="F80" s="316" t="s">
        <v>149</v>
      </c>
      <c r="G80" s="295"/>
      <c r="H80" s="741" t="s">
        <v>143</v>
      </c>
      <c r="I80" s="742"/>
      <c r="J80" s="742"/>
      <c r="K80" s="743"/>
    </row>
    <row r="81" spans="1:13">
      <c r="A81" s="235"/>
      <c r="B81" s="744" t="s">
        <v>150</v>
      </c>
      <c r="C81" s="744"/>
      <c r="D81" s="744"/>
      <c r="E81" s="745"/>
      <c r="F81" s="317"/>
      <c r="G81" s="315"/>
      <c r="H81" s="297"/>
      <c r="I81" s="297"/>
    </row>
    <row r="82" spans="1:13">
      <c r="A82" s="235"/>
      <c r="B82" s="314" t="s">
        <v>151</v>
      </c>
      <c r="C82" s="314"/>
      <c r="D82" s="318" t="s">
        <v>143</v>
      </c>
      <c r="E82" s="316"/>
      <c r="F82" s="316"/>
      <c r="G82" s="316"/>
      <c r="H82" s="297"/>
      <c r="I82" s="297"/>
    </row>
    <row r="83" spans="1:13" ht="18.75" customHeight="1">
      <c r="A83" s="235"/>
      <c r="B83" s="312" t="s">
        <v>152</v>
      </c>
      <c r="C83" s="312"/>
      <c r="D83" s="319"/>
      <c r="E83" s="319"/>
      <c r="F83" s="319"/>
      <c r="G83" s="319"/>
      <c r="H83" s="297"/>
      <c r="I83" s="297"/>
    </row>
    <row r="84" spans="1:13">
      <c r="A84" s="235"/>
      <c r="B84" s="316" t="s">
        <v>153</v>
      </c>
      <c r="C84" s="316"/>
      <c r="D84" s="318" t="s">
        <v>154</v>
      </c>
      <c r="E84" s="314"/>
      <c r="F84" s="314" t="s">
        <v>155</v>
      </c>
      <c r="G84" s="320" t="s">
        <v>154</v>
      </c>
      <c r="H84" s="297"/>
      <c r="I84" s="297"/>
    </row>
    <row r="85" spans="1:13">
      <c r="A85" s="235"/>
      <c r="B85" s="316" t="s">
        <v>156</v>
      </c>
      <c r="C85" s="316"/>
      <c r="D85" s="318" t="s">
        <v>157</v>
      </c>
      <c r="E85" s="316"/>
      <c r="F85" s="316" t="s">
        <v>158</v>
      </c>
      <c r="G85" s="321" t="s">
        <v>159</v>
      </c>
      <c r="H85" s="297"/>
      <c r="I85" s="297"/>
    </row>
    <row r="86" spans="1:13">
      <c r="A86" s="235"/>
      <c r="B86" s="316" t="s">
        <v>160</v>
      </c>
      <c r="C86" s="316"/>
      <c r="D86" s="318" t="s">
        <v>161</v>
      </c>
      <c r="E86" s="316"/>
      <c r="F86" s="316" t="s">
        <v>162</v>
      </c>
      <c r="G86" s="320" t="s">
        <v>154</v>
      </c>
      <c r="H86" s="297"/>
      <c r="I86" s="297"/>
    </row>
    <row r="87" spans="1:13">
      <c r="A87" s="235"/>
      <c r="B87" s="297"/>
      <c r="C87" s="297"/>
      <c r="D87" s="322"/>
      <c r="E87" s="322"/>
      <c r="F87" s="322"/>
      <c r="G87" s="322"/>
      <c r="H87" s="297"/>
      <c r="I87" s="297"/>
    </row>
    <row r="88" spans="1:13">
      <c r="A88" s="235"/>
      <c r="B88" s="314" t="s">
        <v>163</v>
      </c>
      <c r="C88" s="314"/>
      <c r="D88" s="746" t="s">
        <v>164</v>
      </c>
      <c r="E88" s="747"/>
      <c r="F88" s="747"/>
      <c r="G88" s="748"/>
      <c r="H88" s="297"/>
      <c r="I88" s="297"/>
    </row>
    <row r="89" spans="1:13" ht="15" customHeight="1">
      <c r="A89" s="235"/>
      <c r="B89" s="323"/>
      <c r="C89" s="323"/>
      <c r="D89" s="323"/>
      <c r="E89" s="323"/>
      <c r="F89" s="323"/>
      <c r="G89" s="323"/>
      <c r="H89" s="297"/>
      <c r="I89" s="297"/>
    </row>
    <row r="90" spans="1:13">
      <c r="A90" s="235"/>
      <c r="B90" s="297"/>
      <c r="C90" s="297"/>
      <c r="D90" s="297"/>
      <c r="E90" s="310"/>
      <c r="F90" s="310"/>
      <c r="G90" s="749" t="s">
        <v>214</v>
      </c>
      <c r="H90" s="749"/>
      <c r="I90" s="749"/>
      <c r="J90" s="749"/>
      <c r="K90" s="749"/>
      <c r="L90" s="749"/>
      <c r="M90" s="749"/>
    </row>
    <row r="91" spans="1:13">
      <c r="A91" s="235"/>
      <c r="B91" s="310"/>
      <c r="C91" s="310"/>
      <c r="D91" s="310"/>
      <c r="E91" s="310"/>
      <c r="F91" s="310"/>
      <c r="G91" s="749"/>
      <c r="H91" s="749"/>
      <c r="I91" s="749"/>
      <c r="J91" s="749"/>
      <c r="K91" s="749"/>
      <c r="L91" s="749"/>
      <c r="M91" s="749"/>
    </row>
    <row r="92" spans="1:13">
      <c r="A92" s="235"/>
      <c r="B92" s="297"/>
      <c r="C92" s="297"/>
      <c r="D92" s="297"/>
      <c r="E92" s="310"/>
      <c r="F92" s="310"/>
      <c r="G92" s="749"/>
      <c r="H92" s="749"/>
      <c r="I92" s="749"/>
      <c r="J92" s="749"/>
      <c r="K92" s="749"/>
      <c r="L92" s="749"/>
      <c r="M92" s="749"/>
    </row>
    <row r="93" spans="1:13">
      <c r="A93" s="235"/>
      <c r="B93" s="297"/>
      <c r="C93" s="297"/>
      <c r="D93" s="274"/>
      <c r="E93" s="310"/>
      <c r="F93" s="310"/>
      <c r="G93" s="749"/>
      <c r="H93" s="749"/>
      <c r="I93" s="749"/>
      <c r="J93" s="749"/>
      <c r="K93" s="749"/>
      <c r="L93" s="749"/>
      <c r="M93" s="749"/>
    </row>
    <row r="94" spans="1:13">
      <c r="A94" s="235"/>
      <c r="B94" s="297"/>
      <c r="C94" s="297"/>
      <c r="D94" s="274"/>
      <c r="E94" s="274"/>
      <c r="F94" s="274"/>
      <c r="G94" s="274"/>
      <c r="H94" s="274"/>
      <c r="I94" s="297"/>
    </row>
    <row r="95" spans="1:13">
      <c r="A95" s="235"/>
      <c r="B95" s="241"/>
      <c r="C95" s="241"/>
      <c r="D95" s="241"/>
      <c r="E95" s="241"/>
      <c r="F95" s="241"/>
      <c r="G95" s="241"/>
      <c r="H95" s="297"/>
      <c r="I95" s="297"/>
    </row>
    <row r="96" spans="1:13">
      <c r="A96" s="235"/>
      <c r="B96" s="241"/>
      <c r="C96" s="241"/>
      <c r="D96" s="241"/>
      <c r="E96" s="241"/>
      <c r="F96" s="241"/>
      <c r="G96" s="241"/>
      <c r="H96" s="297"/>
      <c r="I96" s="297"/>
    </row>
    <row r="97" spans="2:9">
      <c r="B97" s="241"/>
      <c r="C97" s="241"/>
      <c r="D97" s="241"/>
      <c r="E97" s="241"/>
      <c r="F97" s="241"/>
      <c r="G97" s="241"/>
      <c r="H97" s="297"/>
      <c r="I97" s="297"/>
    </row>
    <row r="98" spans="2:9">
      <c r="B98" s="324"/>
      <c r="C98" s="324"/>
      <c r="D98" s="324"/>
      <c r="E98" s="324"/>
      <c r="F98" s="324"/>
      <c r="G98" s="324"/>
    </row>
    <row r="99" spans="2:9">
      <c r="B99" s="324"/>
      <c r="C99" s="324"/>
      <c r="D99" s="324"/>
      <c r="E99" s="324"/>
      <c r="F99" s="324"/>
      <c r="G99" s="324"/>
    </row>
    <row r="104" spans="2:9">
      <c r="B104" s="740"/>
      <c r="C104" s="740"/>
      <c r="D104" s="740"/>
      <c r="E104" s="740"/>
      <c r="F104" s="740"/>
      <c r="G104" s="740"/>
    </row>
  </sheetData>
  <mergeCells count="59">
    <mergeCell ref="B2:I2"/>
    <mergeCell ref="F4:H4"/>
    <mergeCell ref="C5:F5"/>
    <mergeCell ref="G5:J5"/>
    <mergeCell ref="L20:M20"/>
    <mergeCell ref="D3:H3"/>
    <mergeCell ref="H22:J22"/>
    <mergeCell ref="L22:M22"/>
    <mergeCell ref="L5:N5"/>
    <mergeCell ref="D7:F7"/>
    <mergeCell ref="D8:G8"/>
    <mergeCell ref="G10:H10"/>
    <mergeCell ref="J10:K10"/>
    <mergeCell ref="C6:F6"/>
    <mergeCell ref="H6:J6"/>
    <mergeCell ref="H32:J32"/>
    <mergeCell ref="L32:M32"/>
    <mergeCell ref="H34:J34"/>
    <mergeCell ref="L34:M34"/>
    <mergeCell ref="G12:H12"/>
    <mergeCell ref="J12:K12"/>
    <mergeCell ref="H24:J24"/>
    <mergeCell ref="L24:M24"/>
    <mergeCell ref="G14:H14"/>
    <mergeCell ref="J14:K14"/>
    <mergeCell ref="G16:H16"/>
    <mergeCell ref="J16:K16"/>
    <mergeCell ref="G18:H18"/>
    <mergeCell ref="J18:K18"/>
    <mergeCell ref="G20:H20"/>
    <mergeCell ref="I20:J20"/>
    <mergeCell ref="H26:J26"/>
    <mergeCell ref="L26:M26"/>
    <mergeCell ref="H28:J28"/>
    <mergeCell ref="L28:M28"/>
    <mergeCell ref="H30:J30"/>
    <mergeCell ref="L30:M30"/>
    <mergeCell ref="B43:E43"/>
    <mergeCell ref="D69:G69"/>
    <mergeCell ref="H48:J48"/>
    <mergeCell ref="L48:M48"/>
    <mergeCell ref="H50:J50"/>
    <mergeCell ref="L50:M50"/>
    <mergeCell ref="B54:D54"/>
    <mergeCell ref="B55:D55"/>
    <mergeCell ref="B65:G65"/>
    <mergeCell ref="D66:F66"/>
    <mergeCell ref="L66:N66"/>
    <mergeCell ref="D67:F67"/>
    <mergeCell ref="D68:G68"/>
    <mergeCell ref="H46:J46"/>
    <mergeCell ref="L46:M46"/>
    <mergeCell ref="B104:G104"/>
    <mergeCell ref="H78:K78"/>
    <mergeCell ref="H79:K79"/>
    <mergeCell ref="H80:K80"/>
    <mergeCell ref="B81:E81"/>
    <mergeCell ref="D88:G88"/>
    <mergeCell ref="G90:M93"/>
  </mergeCells>
  <pageMargins left="0" right="0" top="0.74803149606299202" bottom="0" header="0.31496062992126" footer="0.31496062992126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2:L47"/>
  <sheetViews>
    <sheetView view="pageLayout" topLeftCell="A7" zoomScale="115" zoomScaleNormal="100" zoomScalePageLayoutView="115" workbookViewId="0">
      <selection activeCell="I20" sqref="I20"/>
    </sheetView>
  </sheetViews>
  <sheetFormatPr baseColWidth="10" defaultColWidth="11" defaultRowHeight="15"/>
  <cols>
    <col min="1" max="1" width="8.140625" customWidth="1"/>
    <col min="2" max="2" width="11.85546875" customWidth="1"/>
    <col min="3" max="3" width="13.42578125" customWidth="1"/>
    <col min="4" max="4" width="5.85546875" customWidth="1"/>
    <col min="5" max="5" width="7.140625" customWidth="1"/>
    <col min="6" max="6" width="6.85546875" customWidth="1"/>
    <col min="7" max="7" width="8.28515625" customWidth="1"/>
    <col min="8" max="8" width="5.140625" customWidth="1"/>
    <col min="9" max="9" width="6.7109375" customWidth="1"/>
    <col min="10" max="10" width="7.85546875" customWidth="1"/>
    <col min="11" max="11" width="2.85546875" customWidth="1"/>
    <col min="12" max="12" width="4.85546875" customWidth="1"/>
  </cols>
  <sheetData>
    <row r="2" spans="1:12" ht="40.5" customHeight="1">
      <c r="A2" s="8"/>
      <c r="B2" s="792"/>
      <c r="C2" s="792"/>
      <c r="D2" s="792"/>
      <c r="E2" s="792"/>
      <c r="F2" s="792"/>
      <c r="G2" s="792"/>
    </row>
    <row r="3" spans="1:12" ht="17.25" customHeight="1">
      <c r="A3" s="8"/>
      <c r="B3" s="10"/>
      <c r="C3" s="10"/>
      <c r="D3" s="667" t="s">
        <v>379</v>
      </c>
      <c r="E3" s="667"/>
      <c r="F3" s="667"/>
      <c r="G3" s="667"/>
      <c r="H3" s="667"/>
    </row>
    <row r="4" spans="1:12" ht="24" customHeight="1">
      <c r="A4" s="8"/>
      <c r="B4" s="185" t="s">
        <v>1</v>
      </c>
      <c r="C4" s="676"/>
      <c r="D4" s="676"/>
      <c r="E4" s="676"/>
      <c r="F4" s="676"/>
      <c r="G4" s="12" t="s">
        <v>194</v>
      </c>
      <c r="I4" s="6" t="s">
        <v>2</v>
      </c>
      <c r="J4" s="793"/>
      <c r="K4" s="794"/>
      <c r="L4" s="795"/>
    </row>
    <row r="5" spans="1:12" ht="15" customHeight="1">
      <c r="A5" s="8"/>
      <c r="B5" s="185" t="s">
        <v>3</v>
      </c>
      <c r="C5" s="640" t="s">
        <v>4</v>
      </c>
      <c r="D5" s="640"/>
      <c r="E5" s="640"/>
      <c r="F5" s="640"/>
      <c r="G5" s="12" t="s">
        <v>169</v>
      </c>
    </row>
    <row r="6" spans="1:12" ht="14.25" customHeight="1">
      <c r="A6" s="8"/>
      <c r="B6" s="61"/>
      <c r="C6" s="61"/>
      <c r="D6" s="62"/>
      <c r="E6" s="62"/>
      <c r="F6" s="62"/>
      <c r="G6" s="62"/>
    </row>
    <row r="7" spans="1:12" ht="15.75">
      <c r="A7" s="788"/>
      <c r="B7" s="788"/>
      <c r="C7" s="788"/>
      <c r="D7" s="789" t="s">
        <v>6</v>
      </c>
      <c r="E7" s="789"/>
      <c r="F7" s="789"/>
      <c r="G7" s="61"/>
    </row>
    <row r="8" spans="1:12" ht="12.75" customHeight="1">
      <c r="G8" s="61"/>
      <c r="H8" s="61"/>
      <c r="I8" s="61"/>
    </row>
    <row r="9" spans="1:12">
      <c r="C9" s="16"/>
      <c r="D9" s="14"/>
      <c r="E9" s="5"/>
      <c r="F9" s="15" t="s">
        <v>8</v>
      </c>
      <c r="G9" s="61"/>
      <c r="H9" s="61"/>
      <c r="I9" s="61"/>
    </row>
    <row r="10" spans="1:12" ht="16.5">
      <c r="C10" s="429" t="s">
        <v>11</v>
      </c>
      <c r="D10" s="140"/>
      <c r="E10" s="189" t="s">
        <v>12</v>
      </c>
      <c r="F10" s="15" t="s">
        <v>13</v>
      </c>
      <c r="G10" s="139"/>
      <c r="H10" s="139"/>
      <c r="I10" s="139"/>
    </row>
    <row r="11" spans="1:12" ht="16.5">
      <c r="C11" s="429" t="s">
        <v>15</v>
      </c>
      <c r="D11" s="140"/>
      <c r="E11" s="189" t="s">
        <v>12</v>
      </c>
      <c r="F11" s="15" t="s">
        <v>16</v>
      </c>
      <c r="G11" s="139"/>
      <c r="H11" s="139"/>
      <c r="I11" s="139"/>
    </row>
    <row r="12" spans="1:12" ht="16.5">
      <c r="C12" s="429" t="s">
        <v>18</v>
      </c>
      <c r="D12" s="140"/>
      <c r="E12" s="189" t="s">
        <v>19</v>
      </c>
      <c r="F12" s="15" t="s">
        <v>20</v>
      </c>
    </row>
    <row r="13" spans="1:12" ht="16.5">
      <c r="C13" s="429" t="s">
        <v>24</v>
      </c>
      <c r="D13" s="140"/>
      <c r="E13" s="189" t="s">
        <v>21</v>
      </c>
      <c r="F13" s="15" t="s">
        <v>25</v>
      </c>
    </row>
    <row r="14" spans="1:12" ht="16.5">
      <c r="C14" s="423" t="s">
        <v>29</v>
      </c>
      <c r="D14" s="140"/>
      <c r="E14" s="196"/>
      <c r="F14" s="197"/>
    </row>
    <row r="15" spans="1:12" ht="16.5">
      <c r="C15" s="429" t="s">
        <v>35</v>
      </c>
      <c r="D15" s="140"/>
      <c r="E15" s="189" t="s">
        <v>19</v>
      </c>
      <c r="F15" s="221" t="s">
        <v>36</v>
      </c>
    </row>
    <row r="16" spans="1:12" ht="11.25" customHeight="1">
      <c r="G16" s="141"/>
      <c r="H16" s="141"/>
      <c r="I16" s="141"/>
    </row>
    <row r="17" spans="3:9" ht="13.5" customHeight="1">
      <c r="C17" s="790" t="s">
        <v>41</v>
      </c>
      <c r="D17" s="790"/>
      <c r="E17" s="790"/>
      <c r="F17" s="790"/>
    </row>
    <row r="18" spans="3:9" ht="9.75" customHeight="1">
      <c r="C18" s="119"/>
      <c r="D18" s="119"/>
      <c r="E18" s="119"/>
      <c r="F18" s="119"/>
    </row>
    <row r="19" spans="3:9" ht="16.5">
      <c r="C19" s="791" t="s">
        <v>44</v>
      </c>
      <c r="D19" s="791"/>
      <c r="E19" s="492"/>
      <c r="F19" s="414"/>
    </row>
    <row r="20" spans="3:9" ht="16.5">
      <c r="C20" s="791" t="s">
        <v>47</v>
      </c>
      <c r="D20" s="791"/>
      <c r="E20" s="492"/>
      <c r="F20" s="48"/>
    </row>
    <row r="21" spans="3:9">
      <c r="C21" s="781"/>
      <c r="D21" s="781"/>
      <c r="E21" s="34"/>
      <c r="F21" s="34"/>
      <c r="G21" s="142"/>
    </row>
    <row r="22" spans="3:9" ht="15.75">
      <c r="C22" s="143"/>
      <c r="D22" s="782" t="s">
        <v>215</v>
      </c>
      <c r="E22" s="782"/>
      <c r="F22" s="782"/>
    </row>
    <row r="23" spans="3:9" ht="8.25" customHeight="1">
      <c r="C23" s="199"/>
      <c r="D23" s="222"/>
      <c r="E23" s="222"/>
      <c r="F23" s="222"/>
    </row>
    <row r="24" spans="3:9">
      <c r="C24" s="787" t="s">
        <v>372</v>
      </c>
      <c r="D24" s="787"/>
      <c r="E24" s="787"/>
      <c r="F24" s="787"/>
      <c r="G24" s="116"/>
      <c r="H24" s="120"/>
      <c r="I24" s="120"/>
    </row>
    <row r="25" spans="3:9" ht="5.25" customHeight="1">
      <c r="C25" s="224"/>
      <c r="D25" s="182"/>
      <c r="E25" s="182"/>
      <c r="F25" s="220"/>
      <c r="G25" s="116"/>
      <c r="H25" s="120"/>
      <c r="I25" s="120"/>
    </row>
    <row r="26" spans="3:9" ht="16.5">
      <c r="C26" s="225" t="s">
        <v>217</v>
      </c>
      <c r="D26" s="783" t="s">
        <v>218</v>
      </c>
      <c r="E26" s="783"/>
      <c r="F26" s="783"/>
      <c r="G26" s="116"/>
      <c r="H26" s="120"/>
      <c r="I26" s="120"/>
    </row>
    <row r="27" spans="3:9" ht="6" customHeight="1">
      <c r="C27" s="226"/>
      <c r="D27" s="187"/>
      <c r="E27" s="187"/>
      <c r="F27" s="187"/>
      <c r="G27" s="116"/>
      <c r="H27" s="120"/>
      <c r="I27" s="120"/>
    </row>
    <row r="28" spans="3:9" ht="16.5">
      <c r="C28" s="227" t="s">
        <v>219</v>
      </c>
      <c r="D28" s="786" t="s">
        <v>220</v>
      </c>
      <c r="E28" s="682"/>
      <c r="F28" s="202"/>
      <c r="G28" s="116"/>
      <c r="H28" s="120"/>
      <c r="I28" s="120"/>
    </row>
    <row r="29" spans="3:9" ht="5.25" customHeight="1">
      <c r="C29" s="205"/>
      <c r="D29" s="182"/>
      <c r="E29" s="182"/>
      <c r="F29" s="220"/>
      <c r="G29" s="116"/>
      <c r="H29" s="120"/>
      <c r="I29" s="120"/>
    </row>
    <row r="30" spans="3:9">
      <c r="C30" s="225" t="s">
        <v>221</v>
      </c>
      <c r="D30" s="784" t="s">
        <v>53</v>
      </c>
      <c r="E30" s="785"/>
      <c r="F30" s="220"/>
      <c r="G30" s="116"/>
      <c r="H30" s="120"/>
      <c r="I30" s="120"/>
    </row>
    <row r="31" spans="3:9">
      <c r="C31" s="144"/>
      <c r="D31" s="11"/>
      <c r="E31" s="11"/>
      <c r="F31" s="115"/>
      <c r="G31" s="116"/>
      <c r="H31" s="120"/>
      <c r="I31" s="120"/>
    </row>
    <row r="32" spans="3:9">
      <c r="C32" s="144"/>
      <c r="D32" s="11"/>
      <c r="E32" s="11"/>
      <c r="F32" s="115"/>
      <c r="G32" s="116"/>
      <c r="H32" s="120"/>
      <c r="I32" s="120"/>
    </row>
    <row r="33" spans="1:11">
      <c r="C33" s="144"/>
      <c r="D33" s="11"/>
      <c r="E33" s="11"/>
      <c r="F33" s="115"/>
      <c r="G33" s="116"/>
      <c r="H33" s="120"/>
      <c r="I33" s="120"/>
    </row>
    <row r="34" spans="1:11">
      <c r="C34" s="144"/>
      <c r="D34" s="11"/>
      <c r="E34" s="11"/>
      <c r="F34" s="115"/>
      <c r="G34" s="116"/>
      <c r="H34" s="120"/>
      <c r="I34" s="120"/>
    </row>
    <row r="35" spans="1:11">
      <c r="C35" s="144"/>
      <c r="D35" s="11"/>
      <c r="E35" s="11"/>
      <c r="F35" s="115"/>
      <c r="G35" s="116"/>
      <c r="H35" s="120"/>
      <c r="I35" s="120"/>
    </row>
    <row r="36" spans="1:11">
      <c r="C36" s="144"/>
      <c r="D36" s="11"/>
      <c r="E36" s="11"/>
      <c r="F36" s="115"/>
      <c r="G36" s="116"/>
      <c r="H36" s="120"/>
      <c r="I36" s="120"/>
    </row>
    <row r="37" spans="1:11">
      <c r="C37" s="144"/>
      <c r="D37" s="11"/>
      <c r="E37" s="11"/>
      <c r="F37" s="115"/>
      <c r="G37" s="116"/>
      <c r="H37" s="120"/>
      <c r="I37" s="120"/>
    </row>
    <row r="38" spans="1:11">
      <c r="C38" s="144"/>
      <c r="D38" s="11"/>
      <c r="E38" s="11"/>
      <c r="F38" s="115"/>
      <c r="G38" s="116"/>
      <c r="H38" s="120"/>
      <c r="I38" s="120"/>
    </row>
    <row r="39" spans="1:11">
      <c r="C39" s="144"/>
      <c r="D39" s="11"/>
      <c r="E39" s="11"/>
      <c r="F39" s="115"/>
      <c r="G39" s="116"/>
      <c r="H39" s="120"/>
      <c r="I39" s="120"/>
    </row>
    <row r="40" spans="1:11">
      <c r="C40" s="144"/>
      <c r="D40" s="11"/>
      <c r="E40" s="11"/>
      <c r="F40" s="115"/>
      <c r="G40" s="116"/>
      <c r="H40" s="120"/>
      <c r="I40" s="120"/>
    </row>
    <row r="43" spans="1:11">
      <c r="A43" s="8"/>
      <c r="B43" s="778" t="s">
        <v>222</v>
      </c>
      <c r="C43" s="779"/>
      <c r="D43" s="780"/>
      <c r="E43" s="61"/>
      <c r="F43" s="137"/>
      <c r="G43" s="111"/>
      <c r="H43" s="111"/>
    </row>
    <row r="44" spans="1:11" ht="9.75" customHeight="1">
      <c r="A44" s="8"/>
      <c r="B44" s="61"/>
      <c r="C44" s="61"/>
      <c r="D44" s="61"/>
      <c r="E44" s="61"/>
      <c r="F44" s="137"/>
      <c r="G44" s="111"/>
      <c r="H44" s="111"/>
    </row>
    <row r="45" spans="1:11" ht="14.25" customHeight="1">
      <c r="B45" s="778" t="s">
        <v>223</v>
      </c>
      <c r="C45" s="779"/>
      <c r="D45" s="780"/>
      <c r="E45" s="61"/>
      <c r="F45" s="137"/>
      <c r="G45" s="111"/>
      <c r="H45" s="684" t="s">
        <v>214</v>
      </c>
      <c r="I45" s="684"/>
      <c r="J45" s="684"/>
      <c r="K45" s="684"/>
    </row>
    <row r="46" spans="1:11">
      <c r="H46" s="684"/>
      <c r="I46" s="684"/>
      <c r="J46" s="684"/>
      <c r="K46" s="684"/>
    </row>
    <row r="47" spans="1:11">
      <c r="H47" s="684"/>
      <c r="I47" s="684"/>
      <c r="J47" s="684"/>
      <c r="K47" s="684"/>
    </row>
  </sheetData>
  <mergeCells count="19">
    <mergeCell ref="B2:G2"/>
    <mergeCell ref="C4:F4"/>
    <mergeCell ref="J4:L4"/>
    <mergeCell ref="C5:F5"/>
    <mergeCell ref="D3:H3"/>
    <mergeCell ref="A7:C7"/>
    <mergeCell ref="D7:F7"/>
    <mergeCell ref="C17:F17"/>
    <mergeCell ref="C19:D19"/>
    <mergeCell ref="C20:D20"/>
    <mergeCell ref="B45:D45"/>
    <mergeCell ref="H45:K47"/>
    <mergeCell ref="C21:D21"/>
    <mergeCell ref="D22:F22"/>
    <mergeCell ref="D26:F26"/>
    <mergeCell ref="D30:E30"/>
    <mergeCell ref="B43:D43"/>
    <mergeCell ref="D28:E28"/>
    <mergeCell ref="C24:F24"/>
  </mergeCells>
  <pageMargins left="0" right="0" top="0.74803149606299202" bottom="0" header="0.31496062992126" footer="0.31496062992126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M59"/>
  <sheetViews>
    <sheetView view="pageLayout" topLeftCell="A4" zoomScale="115" zoomScaleNormal="100" zoomScalePageLayoutView="115" workbookViewId="0">
      <selection activeCell="J1" sqref="J1"/>
    </sheetView>
  </sheetViews>
  <sheetFormatPr baseColWidth="10" defaultColWidth="11" defaultRowHeight="15"/>
  <cols>
    <col min="1" max="1" width="6.85546875" customWidth="1"/>
    <col min="2" max="2" width="11.28515625" customWidth="1"/>
    <col min="3" max="3" width="10.42578125" customWidth="1"/>
    <col min="4" max="4" width="9.42578125" customWidth="1"/>
    <col min="5" max="5" width="10.85546875" customWidth="1"/>
    <col min="6" max="6" width="13.5703125" customWidth="1"/>
    <col min="7" max="7" width="2.140625" customWidth="1"/>
    <col min="8" max="8" width="0.28515625" hidden="1" customWidth="1"/>
    <col min="9" max="9" width="4.7109375" hidden="1" customWidth="1"/>
    <col min="11" max="11" width="7.85546875" customWidth="1"/>
    <col min="12" max="12" width="2.85546875" customWidth="1"/>
    <col min="13" max="13" width="4.85546875" customWidth="1"/>
  </cols>
  <sheetData>
    <row r="1" spans="1:13" ht="75.75" customHeight="1">
      <c r="A1" s="8"/>
      <c r="B1" s="111"/>
      <c r="C1" s="111"/>
      <c r="D1" s="111"/>
      <c r="E1" s="111"/>
      <c r="F1" s="111"/>
      <c r="G1" s="111"/>
      <c r="H1" s="111"/>
    </row>
    <row r="2" spans="1:13" ht="16.5" customHeight="1">
      <c r="A2" s="8"/>
      <c r="B2" s="512"/>
      <c r="C2" s="512"/>
      <c r="D2" s="670" t="s">
        <v>377</v>
      </c>
      <c r="E2" s="670"/>
      <c r="F2" s="670"/>
      <c r="G2" s="670"/>
      <c r="H2" s="512"/>
      <c r="I2" s="512"/>
      <c r="J2" s="512"/>
      <c r="K2" s="512"/>
      <c r="L2" s="512"/>
      <c r="M2" s="512"/>
    </row>
    <row r="3" spans="1:13" ht="16.5" customHeight="1">
      <c r="A3" s="8"/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</row>
    <row r="4" spans="1:13">
      <c r="A4" s="8"/>
      <c r="B4" s="130" t="s">
        <v>116</v>
      </c>
      <c r="C4" s="644"/>
      <c r="D4" s="644"/>
      <c r="E4" s="644"/>
      <c r="F4" s="130" t="s">
        <v>321</v>
      </c>
      <c r="G4" s="204"/>
      <c r="H4" s="205"/>
      <c r="I4" s="5"/>
      <c r="J4" s="27" t="s">
        <v>2</v>
      </c>
      <c r="K4" s="796">
        <f ca="1">NOW()</f>
        <v>46278.258565972224</v>
      </c>
      <c r="L4" s="797"/>
      <c r="M4" s="798"/>
    </row>
    <row r="5" spans="1:13">
      <c r="A5" s="8"/>
      <c r="B5" s="130" t="s">
        <v>118</v>
      </c>
      <c r="C5" s="644" t="s">
        <v>320</v>
      </c>
      <c r="D5" s="644"/>
      <c r="E5" s="644"/>
      <c r="F5" s="130" t="s">
        <v>322</v>
      </c>
      <c r="G5" s="204"/>
      <c r="H5" s="205"/>
      <c r="I5" s="5"/>
      <c r="J5" s="5"/>
      <c r="K5" s="5"/>
      <c r="L5" s="5"/>
      <c r="M5" s="5"/>
    </row>
    <row r="6" spans="1:13" ht="3.75" customHeight="1">
      <c r="A6" s="8"/>
      <c r="B6" s="205"/>
      <c r="C6" s="635"/>
      <c r="D6" s="635"/>
      <c r="E6" s="635"/>
      <c r="F6" s="635"/>
      <c r="G6" s="205"/>
      <c r="H6" s="205"/>
      <c r="I6" s="5"/>
      <c r="J6" s="5"/>
      <c r="K6" s="5"/>
      <c r="L6" s="5"/>
      <c r="M6" s="5"/>
    </row>
    <row r="7" spans="1:13">
      <c r="A7" s="8"/>
      <c r="B7" s="205"/>
      <c r="C7" s="635" t="s">
        <v>126</v>
      </c>
      <c r="D7" s="635"/>
      <c r="E7" s="635"/>
      <c r="F7" s="635"/>
      <c r="G7" s="205"/>
      <c r="H7" s="205"/>
      <c r="I7" s="5"/>
      <c r="J7" s="5"/>
      <c r="K7" s="5"/>
      <c r="L7" s="5"/>
      <c r="M7" s="5"/>
    </row>
    <row r="8" spans="1:13" ht="9" customHeight="1">
      <c r="A8" s="8"/>
      <c r="B8" s="205"/>
      <c r="C8" s="130"/>
      <c r="D8" s="130"/>
      <c r="E8" s="130"/>
      <c r="F8" s="130"/>
      <c r="G8" s="205"/>
      <c r="H8" s="205"/>
      <c r="I8" s="5"/>
      <c r="J8" s="5"/>
      <c r="K8" s="5"/>
      <c r="L8" s="5"/>
      <c r="M8" s="5"/>
    </row>
    <row r="9" spans="1:13">
      <c r="A9" s="8"/>
      <c r="B9" s="206" t="s">
        <v>127</v>
      </c>
      <c r="C9" s="130"/>
      <c r="D9" s="130"/>
      <c r="E9" s="130"/>
      <c r="F9" s="130"/>
      <c r="G9" s="205"/>
      <c r="H9" s="205"/>
      <c r="I9" s="5"/>
      <c r="J9" s="5"/>
      <c r="K9" s="5"/>
      <c r="L9" s="5"/>
      <c r="M9" s="5"/>
    </row>
    <row r="10" spans="1:13">
      <c r="A10" s="8"/>
      <c r="B10" s="207" t="s">
        <v>128</v>
      </c>
      <c r="C10" s="208"/>
      <c r="D10" s="130"/>
      <c r="E10" s="130" t="s">
        <v>130</v>
      </c>
      <c r="F10" s="193"/>
      <c r="G10" s="205"/>
      <c r="H10" s="205"/>
      <c r="I10" s="5"/>
      <c r="J10" s="5"/>
      <c r="K10" s="5"/>
      <c r="L10" s="5"/>
      <c r="M10" s="5"/>
    </row>
    <row r="11" spans="1:13" ht="18.75" customHeight="1">
      <c r="A11" s="8"/>
      <c r="B11" s="207" t="s">
        <v>131</v>
      </c>
      <c r="C11" s="209"/>
      <c r="D11" s="207"/>
      <c r="E11" s="207" t="s">
        <v>133</v>
      </c>
      <c r="F11" s="210"/>
      <c r="G11" s="130"/>
      <c r="H11" s="205"/>
      <c r="I11" s="5"/>
      <c r="J11" s="5"/>
      <c r="K11" s="5"/>
      <c r="L11" s="5"/>
      <c r="M11" s="5"/>
    </row>
    <row r="12" spans="1:13">
      <c r="A12" s="8"/>
      <c r="B12" s="207" t="s">
        <v>135</v>
      </c>
      <c r="C12" s="209"/>
      <c r="D12" s="207"/>
      <c r="E12" s="207" t="s">
        <v>137</v>
      </c>
      <c r="F12" s="210"/>
      <c r="G12" s="211"/>
      <c r="H12" s="205"/>
      <c r="I12" s="5"/>
      <c r="J12" s="5"/>
      <c r="K12" s="5"/>
      <c r="L12" s="5"/>
      <c r="M12" s="5"/>
    </row>
    <row r="13" spans="1:13">
      <c r="A13" s="8"/>
      <c r="B13" s="207" t="s">
        <v>139</v>
      </c>
      <c r="C13" s="209"/>
      <c r="D13" s="207"/>
      <c r="E13" s="212"/>
      <c r="F13" s="207"/>
      <c r="G13" s="205"/>
      <c r="H13" s="205"/>
      <c r="I13" s="5"/>
      <c r="J13" s="5"/>
      <c r="K13" s="5"/>
      <c r="L13" s="5"/>
      <c r="M13" s="5"/>
    </row>
    <row r="14" spans="1:13">
      <c r="A14" s="8"/>
      <c r="B14" s="207"/>
      <c r="C14" s="207"/>
      <c r="D14" s="207"/>
      <c r="E14" s="212"/>
      <c r="F14" s="207"/>
      <c r="G14" s="205"/>
      <c r="H14" s="205"/>
      <c r="I14" s="5"/>
      <c r="J14" s="5"/>
      <c r="K14" s="5"/>
      <c r="L14" s="5"/>
      <c r="M14" s="5"/>
    </row>
    <row r="15" spans="1:13">
      <c r="A15" s="8"/>
      <c r="B15" s="213" t="s">
        <v>141</v>
      </c>
      <c r="C15" s="130"/>
      <c r="D15" s="130"/>
      <c r="E15" s="130"/>
      <c r="F15" s="130"/>
      <c r="G15" s="205"/>
      <c r="H15" s="205"/>
      <c r="I15" s="5"/>
      <c r="J15" s="5"/>
      <c r="K15" s="5"/>
      <c r="L15" s="5"/>
      <c r="M15" s="5"/>
    </row>
    <row r="16" spans="1:13">
      <c r="A16" s="8"/>
      <c r="B16" s="130" t="s">
        <v>142</v>
      </c>
      <c r="C16" s="208" t="s">
        <v>143</v>
      </c>
      <c r="D16" s="130"/>
      <c r="E16" s="130" t="s">
        <v>144</v>
      </c>
      <c r="F16" s="186"/>
      <c r="G16" s="636" t="s">
        <v>143</v>
      </c>
      <c r="H16" s="637"/>
      <c r="I16" s="637"/>
      <c r="J16" s="638"/>
      <c r="K16" s="5"/>
      <c r="L16" s="5"/>
      <c r="M16" s="5"/>
    </row>
    <row r="17" spans="1:13">
      <c r="A17" s="8"/>
      <c r="B17" s="214" t="s">
        <v>145</v>
      </c>
      <c r="C17" s="208" t="s">
        <v>143</v>
      </c>
      <c r="D17" s="215"/>
      <c r="E17" s="216" t="s">
        <v>146</v>
      </c>
      <c r="F17" s="130"/>
      <c r="G17" s="636" t="s">
        <v>147</v>
      </c>
      <c r="H17" s="637"/>
      <c r="I17" s="637"/>
      <c r="J17" s="638"/>
      <c r="K17" s="5"/>
      <c r="L17" s="5"/>
      <c r="M17" s="5"/>
    </row>
    <row r="18" spans="1:13">
      <c r="A18" s="8"/>
      <c r="B18" s="214" t="s">
        <v>148</v>
      </c>
      <c r="C18" s="208" t="s">
        <v>143</v>
      </c>
      <c r="D18" s="216"/>
      <c r="E18" s="216" t="s">
        <v>149</v>
      </c>
      <c r="F18" s="217"/>
      <c r="G18" s="636" t="s">
        <v>143</v>
      </c>
      <c r="H18" s="637"/>
      <c r="I18" s="637"/>
      <c r="J18" s="638"/>
      <c r="K18" s="5"/>
      <c r="L18" s="5"/>
      <c r="M18" s="5"/>
    </row>
    <row r="19" spans="1:13">
      <c r="A19" s="8"/>
      <c r="B19" s="639" t="s">
        <v>150</v>
      </c>
      <c r="C19" s="639"/>
      <c r="D19" s="640"/>
      <c r="E19" s="12"/>
      <c r="F19" s="215"/>
      <c r="G19" s="205"/>
      <c r="H19" s="205"/>
      <c r="I19" s="5"/>
      <c r="J19" s="5"/>
      <c r="K19" s="5"/>
      <c r="L19" s="5"/>
      <c r="M19" s="5"/>
    </row>
    <row r="20" spans="1:13">
      <c r="A20" s="8"/>
      <c r="B20" s="214" t="s">
        <v>151</v>
      </c>
      <c r="C20" s="218"/>
      <c r="D20" s="216"/>
      <c r="E20" s="216"/>
      <c r="F20" s="216"/>
      <c r="G20" s="205"/>
      <c r="H20" s="205"/>
      <c r="I20" s="5"/>
      <c r="J20" s="5"/>
      <c r="K20" s="5"/>
      <c r="L20" s="5"/>
      <c r="M20" s="5"/>
    </row>
    <row r="21" spans="1:13" ht="18.75" customHeight="1">
      <c r="A21" s="8"/>
      <c r="B21" s="213" t="s">
        <v>152</v>
      </c>
      <c r="C21" s="219"/>
      <c r="D21" s="219"/>
      <c r="E21" s="219"/>
      <c r="F21" s="219"/>
      <c r="G21" s="205"/>
      <c r="H21" s="205"/>
      <c r="I21" s="5"/>
      <c r="J21" s="5"/>
      <c r="K21" s="5"/>
      <c r="L21" s="5"/>
      <c r="M21" s="5"/>
    </row>
    <row r="22" spans="1:13" ht="16.5">
      <c r="A22" s="8"/>
      <c r="B22" s="216" t="s">
        <v>153</v>
      </c>
      <c r="C22" s="444" t="s">
        <v>373</v>
      </c>
      <c r="D22" s="214"/>
      <c r="E22" s="214" t="s">
        <v>155</v>
      </c>
      <c r="F22" s="181" t="s">
        <v>154</v>
      </c>
      <c r="G22" s="205"/>
      <c r="H22" s="205"/>
      <c r="I22" s="5"/>
      <c r="J22" s="5"/>
      <c r="K22" s="5"/>
      <c r="L22" s="5"/>
      <c r="M22" s="5"/>
    </row>
    <row r="23" spans="1:13" ht="16.5">
      <c r="A23" s="8"/>
      <c r="B23" s="216" t="s">
        <v>156</v>
      </c>
      <c r="C23" s="444" t="s">
        <v>373</v>
      </c>
      <c r="D23" s="216"/>
      <c r="E23" s="216" t="s">
        <v>158</v>
      </c>
      <c r="F23" s="181" t="s">
        <v>225</v>
      </c>
      <c r="G23" s="205"/>
      <c r="H23" s="205"/>
      <c r="I23" s="5"/>
      <c r="J23" s="5"/>
      <c r="K23" s="5"/>
      <c r="L23" s="5"/>
      <c r="M23" s="5"/>
    </row>
    <row r="24" spans="1:13" ht="16.5">
      <c r="A24" s="8"/>
      <c r="B24" s="216" t="s">
        <v>160</v>
      </c>
      <c r="C24" s="444" t="s">
        <v>374</v>
      </c>
      <c r="D24" s="216"/>
      <c r="E24" s="216" t="s">
        <v>162</v>
      </c>
      <c r="F24" s="181" t="s">
        <v>154</v>
      </c>
      <c r="G24" s="205"/>
      <c r="H24" s="205"/>
      <c r="I24" s="5"/>
      <c r="J24" s="5"/>
      <c r="K24" s="5"/>
      <c r="L24" s="5"/>
      <c r="M24" s="5"/>
    </row>
    <row r="25" spans="1:13">
      <c r="A25" s="8"/>
      <c r="B25" s="111"/>
      <c r="C25" s="133"/>
      <c r="D25" s="133"/>
      <c r="E25" s="133"/>
      <c r="F25" s="133"/>
      <c r="G25" s="111"/>
      <c r="H25" s="111"/>
    </row>
    <row r="26" spans="1:13" ht="15" customHeight="1">
      <c r="A26" s="8"/>
      <c r="B26" s="134"/>
      <c r="C26" s="134"/>
      <c r="D26" s="134"/>
      <c r="E26" s="134"/>
      <c r="F26" s="134"/>
      <c r="G26" s="111"/>
      <c r="H26" s="111"/>
    </row>
    <row r="27" spans="1:13">
      <c r="A27" s="8"/>
      <c r="B27" s="633"/>
      <c r="C27" s="633"/>
      <c r="D27" s="134"/>
      <c r="E27" s="134"/>
      <c r="F27" s="134"/>
      <c r="G27" s="111"/>
      <c r="H27" s="111"/>
    </row>
    <row r="28" spans="1:13">
      <c r="A28" s="8"/>
      <c r="B28" s="135"/>
      <c r="C28" s="135"/>
      <c r="D28" s="134"/>
      <c r="E28" s="134"/>
      <c r="F28" s="134"/>
      <c r="G28" s="111"/>
      <c r="H28" s="111"/>
    </row>
    <row r="29" spans="1:13">
      <c r="A29" s="8"/>
      <c r="B29" s="135"/>
      <c r="C29" s="135"/>
      <c r="D29" s="134"/>
      <c r="E29" s="134"/>
      <c r="F29" s="134"/>
      <c r="G29" s="111"/>
      <c r="H29" s="111"/>
    </row>
    <row r="30" spans="1:13">
      <c r="A30" s="8"/>
      <c r="B30" s="135"/>
      <c r="C30" s="135"/>
      <c r="D30" s="134"/>
      <c r="E30" s="134"/>
      <c r="F30" s="134"/>
      <c r="G30" s="111"/>
      <c r="H30" s="111"/>
    </row>
    <row r="31" spans="1:13">
      <c r="A31" s="8"/>
      <c r="B31" s="135"/>
      <c r="C31" s="135"/>
      <c r="D31" s="134"/>
      <c r="E31" s="134"/>
      <c r="F31" s="134"/>
      <c r="G31" s="111"/>
      <c r="H31" s="111"/>
    </row>
    <row r="32" spans="1:13">
      <c r="A32" s="8"/>
      <c r="B32" s="135"/>
      <c r="C32" s="135"/>
      <c r="D32" s="134"/>
      <c r="E32" s="134"/>
      <c r="F32" s="134"/>
      <c r="G32" s="111"/>
      <c r="H32" s="111"/>
    </row>
    <row r="33" spans="1:12">
      <c r="A33" s="8"/>
      <c r="B33" s="135"/>
      <c r="C33" s="135"/>
      <c r="D33" s="134"/>
      <c r="E33" s="134"/>
      <c r="F33" s="134"/>
      <c r="G33" s="111"/>
      <c r="H33" s="111"/>
    </row>
    <row r="34" spans="1:12">
      <c r="A34" s="8"/>
      <c r="B34" s="135"/>
      <c r="C34" s="135"/>
      <c r="D34" s="134"/>
      <c r="E34" s="134"/>
      <c r="F34" s="134"/>
      <c r="G34" s="111"/>
      <c r="H34" s="111"/>
    </row>
    <row r="35" spans="1:12">
      <c r="A35" s="8"/>
      <c r="B35" s="135"/>
      <c r="C35" s="135"/>
      <c r="D35" s="134"/>
      <c r="E35" s="134"/>
      <c r="F35" s="134"/>
      <c r="G35" s="111"/>
      <c r="H35" s="111"/>
    </row>
    <row r="36" spans="1:12">
      <c r="A36" s="8"/>
      <c r="B36" s="135"/>
      <c r="C36" s="135"/>
      <c r="D36" s="134"/>
      <c r="E36" s="134"/>
      <c r="F36" s="134"/>
      <c r="G36" s="111"/>
      <c r="H36" s="111"/>
    </row>
    <row r="37" spans="1:12">
      <c r="A37" s="8"/>
      <c r="B37" s="135"/>
      <c r="C37" s="135"/>
      <c r="D37" s="134"/>
      <c r="E37" s="134"/>
      <c r="F37" s="134"/>
      <c r="G37" s="111"/>
      <c r="H37" s="111"/>
    </row>
    <row r="38" spans="1:12">
      <c r="A38" s="8"/>
      <c r="B38" s="135"/>
      <c r="C38" s="135"/>
      <c r="D38" s="134"/>
      <c r="E38" s="134"/>
      <c r="F38" s="134"/>
      <c r="G38" s="111"/>
      <c r="H38" s="111"/>
    </row>
    <row r="39" spans="1:12">
      <c r="A39" s="8"/>
      <c r="B39" s="135"/>
      <c r="C39" s="135"/>
      <c r="D39" s="134"/>
      <c r="E39" s="134"/>
      <c r="F39" s="134"/>
      <c r="G39" s="111"/>
      <c r="H39" s="111"/>
    </row>
    <row r="40" spans="1:12">
      <c r="A40" s="8"/>
      <c r="B40" s="111"/>
      <c r="C40" s="111"/>
      <c r="D40" s="11"/>
      <c r="E40" s="11"/>
      <c r="F40" s="11"/>
      <c r="G40" s="11"/>
      <c r="H40" s="11"/>
      <c r="I40" s="11"/>
      <c r="J40" s="11"/>
      <c r="K40" s="22"/>
    </row>
    <row r="41" spans="1:12">
      <c r="A41" s="8"/>
      <c r="B41" s="778" t="s">
        <v>222</v>
      </c>
      <c r="C41" s="779"/>
      <c r="D41" s="780"/>
      <c r="E41" s="136">
        <v>0.5</v>
      </c>
      <c r="F41" s="137"/>
      <c r="G41" s="111"/>
      <c r="H41" s="111"/>
    </row>
    <row r="42" spans="1:12" ht="14.25" customHeight="1">
      <c r="B42" s="778" t="s">
        <v>223</v>
      </c>
      <c r="C42" s="779"/>
      <c r="D42" s="780"/>
      <c r="E42" s="136">
        <v>0.52083333333333304</v>
      </c>
      <c r="F42" s="137"/>
      <c r="G42" s="111"/>
      <c r="H42" s="111"/>
    </row>
    <row r="43" spans="1:12" ht="9.75" customHeight="1">
      <c r="A43" s="8"/>
      <c r="B43" s="132"/>
      <c r="C43" s="132"/>
      <c r="D43" s="132"/>
      <c r="E43" s="132"/>
      <c r="F43" s="132"/>
      <c r="G43" s="111"/>
      <c r="H43" s="111"/>
    </row>
    <row r="44" spans="1:12">
      <c r="A44" s="8"/>
      <c r="B44" s="111"/>
      <c r="C44" s="111"/>
      <c r="D44" s="132"/>
      <c r="E44" s="132"/>
      <c r="F44" s="132"/>
      <c r="G44" s="132"/>
      <c r="H44" s="132"/>
      <c r="I44" s="132"/>
      <c r="J44" s="132"/>
      <c r="K44" s="132"/>
      <c r="L44" s="132"/>
    </row>
    <row r="45" spans="1:12">
      <c r="A45" s="8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</row>
    <row r="46" spans="1:12">
      <c r="A46" s="8"/>
      <c r="B46" s="111"/>
      <c r="C46" s="111"/>
      <c r="D46" s="132"/>
      <c r="E46" s="132"/>
      <c r="F46" s="132"/>
      <c r="G46" s="132"/>
      <c r="H46" s="132"/>
      <c r="I46" s="132"/>
      <c r="J46" s="132"/>
      <c r="K46" s="132"/>
      <c r="L46" s="132"/>
    </row>
    <row r="47" spans="1:12">
      <c r="A47" s="8"/>
      <c r="B47" s="111"/>
      <c r="C47" s="120"/>
      <c r="D47" s="132"/>
      <c r="E47" s="132"/>
      <c r="F47" s="132"/>
      <c r="G47" s="132"/>
      <c r="H47" s="132"/>
      <c r="I47" s="132"/>
      <c r="J47" s="132"/>
      <c r="K47" s="132"/>
      <c r="L47" s="132"/>
    </row>
    <row r="48" spans="1:12">
      <c r="A48" s="8"/>
      <c r="B48" s="111"/>
      <c r="C48" s="120"/>
      <c r="D48" s="132"/>
      <c r="E48" s="132"/>
      <c r="F48" s="138"/>
      <c r="G48" s="138"/>
      <c r="H48" s="138"/>
      <c r="I48" s="138"/>
    </row>
    <row r="49" spans="1:8">
      <c r="A49" s="8"/>
      <c r="B49" s="111"/>
      <c r="C49" s="120"/>
      <c r="D49" s="120"/>
      <c r="E49" s="120"/>
      <c r="F49" s="120"/>
      <c r="G49" s="120"/>
      <c r="H49" s="111"/>
    </row>
    <row r="50" spans="1:8">
      <c r="A50" s="8"/>
      <c r="B50" s="61"/>
      <c r="C50" s="61"/>
      <c r="D50" s="61"/>
      <c r="E50" s="61"/>
      <c r="F50" s="61"/>
      <c r="G50" s="111"/>
      <c r="H50" s="111"/>
    </row>
    <row r="51" spans="1:8">
      <c r="A51" s="8"/>
      <c r="B51" s="61"/>
      <c r="C51" s="61"/>
      <c r="D51" s="61"/>
      <c r="E51" s="61"/>
      <c r="F51" s="61"/>
      <c r="G51" s="111"/>
      <c r="H51" s="111"/>
    </row>
    <row r="52" spans="1:8">
      <c r="B52" s="61"/>
      <c r="C52" s="61"/>
      <c r="D52" s="61"/>
      <c r="E52" s="61"/>
      <c r="F52" s="61"/>
      <c r="G52" s="111"/>
      <c r="H52" s="111"/>
    </row>
    <row r="53" spans="1:8">
      <c r="B53" s="139"/>
      <c r="C53" s="139"/>
      <c r="D53" s="139"/>
      <c r="E53" s="139"/>
      <c r="F53" s="139"/>
    </row>
    <row r="54" spans="1:8">
      <c r="B54" s="139"/>
      <c r="C54" s="139"/>
      <c r="D54" s="139"/>
      <c r="E54" s="139"/>
      <c r="F54" s="139"/>
    </row>
    <row r="59" spans="1:8">
      <c r="B59" s="634"/>
      <c r="C59" s="634"/>
      <c r="D59" s="634"/>
      <c r="E59" s="634"/>
      <c r="F59" s="634"/>
    </row>
  </sheetData>
  <mergeCells count="14">
    <mergeCell ref="D2:G2"/>
    <mergeCell ref="G16:J16"/>
    <mergeCell ref="C4:E4"/>
    <mergeCell ref="B27:C27"/>
    <mergeCell ref="K4:M4"/>
    <mergeCell ref="C5:E5"/>
    <mergeCell ref="C6:F6"/>
    <mergeCell ref="B41:D41"/>
    <mergeCell ref="B42:D42"/>
    <mergeCell ref="B59:F59"/>
    <mergeCell ref="C7:F7"/>
    <mergeCell ref="G17:J17"/>
    <mergeCell ref="G18:J18"/>
    <mergeCell ref="B19:D19"/>
  </mergeCells>
  <pageMargins left="0" right="0" top="0.74803149606299202" bottom="0" header="0.31496062992126" footer="0.31496062992126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2:N36"/>
  <sheetViews>
    <sheetView view="pageLayout" topLeftCell="A46" zoomScale="106" zoomScaleNormal="100" zoomScalePageLayoutView="106" workbookViewId="0">
      <selection activeCell="L9" sqref="L9"/>
    </sheetView>
  </sheetViews>
  <sheetFormatPr baseColWidth="10" defaultColWidth="11" defaultRowHeight="15"/>
  <cols>
    <col min="1" max="1" width="6.85546875" customWidth="1"/>
    <col min="2" max="2" width="11.28515625" customWidth="1"/>
    <col min="3" max="3" width="10.42578125" customWidth="1"/>
    <col min="4" max="4" width="11.42578125" customWidth="1"/>
    <col min="5" max="5" width="10.85546875" customWidth="1"/>
    <col min="6" max="6" width="13.5703125" customWidth="1"/>
    <col min="7" max="7" width="2.140625" customWidth="1"/>
    <col min="8" max="8" width="0.28515625" hidden="1" customWidth="1"/>
    <col min="9" max="9" width="4.7109375" hidden="1" customWidth="1"/>
    <col min="11" max="11" width="6.140625" customWidth="1"/>
    <col min="12" max="12" width="5.28515625" customWidth="1"/>
    <col min="13" max="13" width="13.7109375" customWidth="1"/>
  </cols>
  <sheetData>
    <row r="2" spans="1:14" ht="20.25" customHeight="1"/>
    <row r="3" spans="1:14" ht="16.5" customHeight="1">
      <c r="A3" s="8"/>
      <c r="B3" s="670" t="s">
        <v>0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434"/>
      <c r="N3" s="26"/>
    </row>
    <row r="4" spans="1:14" ht="16.5" customHeight="1">
      <c r="A4" s="8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34"/>
      <c r="N4" s="26"/>
    </row>
    <row r="5" spans="1:14" ht="21.75" customHeight="1">
      <c r="A5" s="8"/>
      <c r="B5" s="423" t="s">
        <v>1</v>
      </c>
      <c r="C5" s="671"/>
      <c r="D5" s="671"/>
      <c r="E5" s="671"/>
      <c r="F5" s="423" t="s">
        <v>277</v>
      </c>
      <c r="G5" s="433"/>
      <c r="H5" s="423"/>
      <c r="I5" s="434"/>
      <c r="J5" s="6" t="s">
        <v>2</v>
      </c>
      <c r="K5" s="672"/>
      <c r="L5" s="673"/>
      <c r="M5" s="674"/>
      <c r="N5" s="26"/>
    </row>
    <row r="6" spans="1:14" ht="19.5" customHeight="1">
      <c r="A6" s="8"/>
      <c r="B6" s="423" t="s">
        <v>3</v>
      </c>
      <c r="C6" s="671" t="s">
        <v>229</v>
      </c>
      <c r="D6" s="671"/>
      <c r="E6" s="671"/>
      <c r="F6" s="423" t="s">
        <v>264</v>
      </c>
      <c r="G6" s="423"/>
      <c r="H6" s="429"/>
      <c r="I6" s="434"/>
      <c r="J6" s="434"/>
      <c r="K6" s="434"/>
      <c r="L6" s="434"/>
      <c r="M6" s="434"/>
      <c r="N6" s="26"/>
    </row>
    <row r="7" spans="1:14" ht="15" customHeight="1">
      <c r="A7" s="8"/>
      <c r="B7" s="12"/>
      <c r="C7" s="13"/>
      <c r="D7" s="13"/>
      <c r="E7" s="12"/>
      <c r="F7" s="12"/>
      <c r="G7" s="12"/>
      <c r="H7" s="14"/>
      <c r="I7" s="5"/>
      <c r="J7" s="5"/>
      <c r="K7" s="5"/>
      <c r="L7" s="5"/>
      <c r="M7" s="5"/>
      <c r="N7" s="26"/>
    </row>
    <row r="8" spans="1:14" ht="12.75" customHeight="1">
      <c r="A8" s="8"/>
      <c r="B8" s="15"/>
      <c r="C8" s="15"/>
      <c r="D8" s="15"/>
      <c r="E8" s="15"/>
      <c r="F8" s="15"/>
      <c r="G8" s="15"/>
      <c r="H8" s="16"/>
      <c r="I8" s="5"/>
      <c r="J8" s="5"/>
      <c r="K8" s="5"/>
      <c r="L8" s="5"/>
      <c r="M8" s="5"/>
      <c r="N8" s="26"/>
    </row>
    <row r="9" spans="1:14" ht="15" customHeight="1">
      <c r="D9" s="802" t="s">
        <v>278</v>
      </c>
      <c r="E9" s="802"/>
      <c r="F9" s="802"/>
    </row>
    <row r="10" spans="1:14">
      <c r="D10" s="802"/>
      <c r="E10" s="802"/>
      <c r="F10" s="802"/>
    </row>
    <row r="11" spans="1:14" ht="8.25" customHeight="1"/>
    <row r="12" spans="1:14">
      <c r="D12" s="803" t="s">
        <v>279</v>
      </c>
      <c r="E12" s="803"/>
      <c r="F12" s="803"/>
    </row>
    <row r="13" spans="1:14" ht="9" customHeight="1">
      <c r="D13" s="4"/>
      <c r="E13" s="4"/>
      <c r="F13" s="4"/>
    </row>
    <row r="14" spans="1:14">
      <c r="D14" s="17" t="s">
        <v>217</v>
      </c>
      <c r="E14" s="799" t="s">
        <v>218</v>
      </c>
      <c r="F14" s="800"/>
    </row>
    <row r="15" spans="1:14" ht="6.75" customHeight="1">
      <c r="D15" s="19"/>
      <c r="E15" s="20"/>
      <c r="F15" s="18"/>
    </row>
    <row r="16" spans="1:14">
      <c r="D16" s="21" t="s">
        <v>280</v>
      </c>
      <c r="E16" s="18" t="s">
        <v>220</v>
      </c>
    </row>
    <row r="17" spans="4:6" ht="7.5" customHeight="1">
      <c r="D17" s="22"/>
      <c r="E17" s="18"/>
    </row>
    <row r="18" spans="4:6">
      <c r="D18" s="21" t="s">
        <v>281</v>
      </c>
      <c r="E18" s="23">
        <v>45656</v>
      </c>
    </row>
    <row r="19" spans="4:6" ht="5.25" customHeight="1">
      <c r="E19" s="24"/>
    </row>
    <row r="20" spans="4:6">
      <c r="D20" s="21" t="s">
        <v>221</v>
      </c>
      <c r="E20" s="21" t="s">
        <v>233</v>
      </c>
      <c r="F20" s="22"/>
    </row>
    <row r="33" spans="2:5">
      <c r="B33" s="19"/>
      <c r="C33" s="19"/>
      <c r="D33" s="19"/>
      <c r="E33" s="22"/>
    </row>
    <row r="34" spans="2:5">
      <c r="B34" s="19"/>
      <c r="C34" s="19"/>
      <c r="D34" s="19"/>
      <c r="E34" s="22"/>
    </row>
    <row r="35" spans="2:5">
      <c r="B35" s="801" t="s">
        <v>238</v>
      </c>
      <c r="C35" s="794"/>
      <c r="D35" s="795"/>
      <c r="E35" s="25">
        <v>0.30208333333333298</v>
      </c>
    </row>
    <row r="36" spans="2:5">
      <c r="B36" s="801" t="s">
        <v>239</v>
      </c>
      <c r="C36" s="794"/>
      <c r="D36" s="795"/>
      <c r="E36" s="25">
        <v>0.36458333333333298</v>
      </c>
    </row>
  </sheetData>
  <mergeCells count="9">
    <mergeCell ref="E14:F14"/>
    <mergeCell ref="B35:D35"/>
    <mergeCell ref="B36:D36"/>
    <mergeCell ref="D9:F10"/>
    <mergeCell ref="B3:L3"/>
    <mergeCell ref="C5:E5"/>
    <mergeCell ref="K5:M5"/>
    <mergeCell ref="C6:E6"/>
    <mergeCell ref="D12:F12"/>
  </mergeCells>
  <pageMargins left="0" right="0" top="0.74803149606299202" bottom="0" header="0.31496062992126" footer="0.31496062992126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D2CE-0C42-4002-A197-1C72A66EF38D}">
  <dimension ref="A2:N45"/>
  <sheetViews>
    <sheetView view="pageLayout" topLeftCell="C16" zoomScale="115" zoomScaleNormal="100" zoomScalePageLayoutView="115" workbookViewId="0">
      <selection activeCell="D2" sqref="D2:J2"/>
    </sheetView>
  </sheetViews>
  <sheetFormatPr baseColWidth="10" defaultColWidth="11" defaultRowHeight="15"/>
  <cols>
    <col min="1" max="1" width="8.140625" style="329" customWidth="1"/>
    <col min="2" max="2" width="10.85546875" style="329" customWidth="1"/>
    <col min="3" max="3" width="11.28515625" style="329" customWidth="1"/>
    <col min="4" max="4" width="10.140625" style="329" customWidth="1"/>
    <col min="5" max="5" width="4.42578125" style="329" customWidth="1"/>
    <col min="6" max="6" width="5.7109375" style="329" customWidth="1"/>
    <col min="7" max="7" width="11.140625" style="329" customWidth="1"/>
    <col min="8" max="8" width="2.140625" style="329" customWidth="1"/>
    <col min="9" max="9" width="0.28515625" style="329" hidden="1" customWidth="1"/>
    <col min="10" max="10" width="5.140625" style="329" customWidth="1"/>
    <col min="11" max="11" width="6.85546875" style="329" customWidth="1"/>
    <col min="12" max="12" width="7.85546875" style="329" customWidth="1"/>
    <col min="13" max="13" width="2.85546875" style="329" customWidth="1"/>
    <col min="14" max="14" width="3.42578125" style="329" customWidth="1"/>
    <col min="15" max="16384" width="11" style="329"/>
  </cols>
  <sheetData>
    <row r="2" spans="1:14">
      <c r="D2" s="805" t="s">
        <v>377</v>
      </c>
      <c r="E2" s="805"/>
      <c r="F2" s="805"/>
      <c r="G2" s="805"/>
      <c r="H2" s="805"/>
      <c r="I2" s="805"/>
      <c r="J2" s="805"/>
    </row>
    <row r="3" spans="1:14" ht="17.25" customHeight="1">
      <c r="A3" s="328"/>
      <c r="B3" s="330"/>
      <c r="C3" s="330"/>
      <c r="D3" s="330"/>
      <c r="E3" s="330"/>
      <c r="F3" s="804"/>
      <c r="G3" s="804"/>
      <c r="H3" s="804"/>
      <c r="I3" s="330"/>
    </row>
    <row r="4" spans="1:14" ht="24" customHeight="1">
      <c r="A4" s="328"/>
      <c r="B4" s="400" t="s">
        <v>1</v>
      </c>
      <c r="C4" s="807"/>
      <c r="D4" s="807"/>
      <c r="E4" s="807"/>
      <c r="F4" s="807"/>
      <c r="G4" s="401" t="s">
        <v>194</v>
      </c>
      <c r="H4" s="402"/>
      <c r="I4" s="331"/>
      <c r="K4" s="332" t="s">
        <v>2</v>
      </c>
      <c r="L4" s="808">
        <f ca="1">TODAY()</f>
        <v>46278</v>
      </c>
      <c r="M4" s="809"/>
      <c r="N4" s="810"/>
    </row>
    <row r="5" spans="1:14" ht="15" customHeight="1">
      <c r="A5" s="328"/>
      <c r="B5" s="400" t="s">
        <v>3</v>
      </c>
      <c r="C5" s="807"/>
      <c r="D5" s="807"/>
      <c r="E5" s="807"/>
      <c r="F5" s="807"/>
      <c r="G5" s="401" t="s">
        <v>169</v>
      </c>
      <c r="H5" s="401"/>
      <c r="I5" s="333"/>
    </row>
    <row r="6" spans="1:14" ht="14.25" customHeight="1">
      <c r="A6" s="328"/>
      <c r="B6" s="403"/>
      <c r="C6" s="403"/>
      <c r="D6" s="806"/>
      <c r="E6" s="806"/>
      <c r="F6" s="806"/>
      <c r="G6" s="404"/>
      <c r="H6" s="403"/>
      <c r="I6" s="330"/>
    </row>
    <row r="7" spans="1:14">
      <c r="B7" s="405"/>
      <c r="C7" s="405"/>
      <c r="D7" s="805" t="s">
        <v>226</v>
      </c>
      <c r="E7" s="805"/>
      <c r="F7" s="805"/>
      <c r="G7" s="805"/>
      <c r="H7" s="805"/>
    </row>
    <row r="8" spans="1:14" ht="9" customHeight="1"/>
    <row r="9" spans="1:14">
      <c r="C9" s="813" t="s">
        <v>344</v>
      </c>
      <c r="D9" s="813"/>
      <c r="E9" s="813"/>
      <c r="F9" s="813"/>
      <c r="G9" s="813"/>
      <c r="H9" s="813"/>
      <c r="I9" s="813"/>
      <c r="J9" s="813"/>
      <c r="K9" s="405"/>
      <c r="L9" s="335"/>
    </row>
    <row r="10" spans="1:14" ht="8.25" customHeight="1">
      <c r="C10" s="405"/>
      <c r="D10" s="405"/>
      <c r="E10" s="405"/>
      <c r="F10" s="405"/>
      <c r="G10" s="405"/>
      <c r="H10" s="405"/>
      <c r="I10" s="405"/>
      <c r="J10" s="405"/>
      <c r="K10" s="405"/>
    </row>
    <row r="11" spans="1:14">
      <c r="C11" s="405"/>
      <c r="D11" s="805" t="s">
        <v>345</v>
      </c>
      <c r="E11" s="805"/>
      <c r="F11" s="805"/>
      <c r="G11" s="805"/>
      <c r="H11" s="805"/>
      <c r="I11" s="405"/>
      <c r="J11" s="405"/>
      <c r="K11" s="405"/>
    </row>
    <row r="12" spans="1:14" ht="7.5" customHeight="1">
      <c r="C12" s="405"/>
      <c r="D12" s="405"/>
      <c r="E12" s="405"/>
      <c r="F12" s="405"/>
      <c r="G12" s="405"/>
      <c r="H12" s="405"/>
      <c r="I12" s="405"/>
      <c r="J12" s="405"/>
      <c r="K12" s="405"/>
    </row>
    <row r="13" spans="1:14">
      <c r="C13" s="405" t="s">
        <v>346</v>
      </c>
      <c r="D13" s="406" t="s">
        <v>347</v>
      </c>
      <c r="E13" s="405"/>
      <c r="F13" s="814" t="s">
        <v>348</v>
      </c>
      <c r="G13" s="815"/>
      <c r="H13" s="815"/>
      <c r="I13" s="815"/>
      <c r="J13" s="815"/>
      <c r="K13" s="816"/>
    </row>
    <row r="14" spans="1:14" ht="7.5" customHeight="1">
      <c r="C14" s="405"/>
      <c r="D14" s="405"/>
      <c r="E14" s="405"/>
      <c r="F14" s="405"/>
      <c r="G14" s="405"/>
      <c r="H14" s="405"/>
      <c r="I14" s="405"/>
      <c r="J14" s="405"/>
      <c r="K14" s="405"/>
    </row>
    <row r="15" spans="1:14">
      <c r="C15" s="405" t="s">
        <v>349</v>
      </c>
      <c r="D15" s="406" t="s">
        <v>347</v>
      </c>
      <c r="E15" s="405"/>
      <c r="F15" s="814" t="s">
        <v>348</v>
      </c>
      <c r="G15" s="815"/>
      <c r="H15" s="815"/>
      <c r="I15" s="815"/>
      <c r="J15" s="815"/>
      <c r="K15" s="816"/>
    </row>
    <row r="16" spans="1:14" ht="8.25" customHeight="1">
      <c r="C16" s="405"/>
      <c r="D16" s="405"/>
      <c r="E16" s="405"/>
      <c r="F16" s="405"/>
      <c r="G16" s="405"/>
      <c r="H16" s="405"/>
      <c r="I16" s="405"/>
      <c r="J16" s="405"/>
      <c r="K16" s="405"/>
    </row>
    <row r="17" spans="3:11">
      <c r="C17" s="405" t="s">
        <v>350</v>
      </c>
      <c r="D17" s="406" t="s">
        <v>347</v>
      </c>
      <c r="E17" s="405"/>
      <c r="F17" s="814" t="s">
        <v>348</v>
      </c>
      <c r="G17" s="815"/>
      <c r="H17" s="815"/>
      <c r="I17" s="815"/>
      <c r="J17" s="815"/>
      <c r="K17" s="816"/>
    </row>
    <row r="18" spans="3:11">
      <c r="C18" s="405"/>
      <c r="D18" s="405"/>
      <c r="E18" s="405"/>
      <c r="F18" s="405"/>
      <c r="G18" s="405"/>
      <c r="H18" s="405"/>
      <c r="I18" s="405"/>
      <c r="J18" s="405"/>
      <c r="K18" s="405"/>
    </row>
    <row r="19" spans="3:11">
      <c r="C19" s="405"/>
      <c r="D19" s="336" t="s">
        <v>351</v>
      </c>
      <c r="E19" s="405"/>
      <c r="F19" s="405"/>
      <c r="G19" s="405"/>
      <c r="H19" s="405"/>
      <c r="I19" s="405"/>
      <c r="J19" s="405"/>
      <c r="K19" s="405"/>
    </row>
    <row r="20" spans="3:11" ht="8.25" customHeight="1">
      <c r="C20" s="405"/>
      <c r="D20" s="405"/>
      <c r="E20" s="405"/>
      <c r="F20" s="405"/>
      <c r="G20" s="405"/>
      <c r="H20" s="405"/>
      <c r="I20" s="405"/>
      <c r="J20" s="405"/>
      <c r="K20" s="405"/>
    </row>
    <row r="21" spans="3:11">
      <c r="C21" s="811" t="s">
        <v>135</v>
      </c>
      <c r="D21" s="812"/>
      <c r="E21" s="405"/>
      <c r="F21" s="817" t="s">
        <v>352</v>
      </c>
      <c r="G21" s="817"/>
      <c r="H21" s="407"/>
      <c r="I21" s="407"/>
      <c r="J21" s="407"/>
      <c r="K21" s="407"/>
    </row>
    <row r="22" spans="3:11" ht="6" customHeight="1">
      <c r="C22" s="332"/>
      <c r="D22" s="332"/>
      <c r="E22" s="405"/>
      <c r="F22" s="405"/>
      <c r="G22" s="405"/>
      <c r="H22" s="405"/>
      <c r="I22" s="405"/>
      <c r="J22" s="405"/>
      <c r="K22" s="405"/>
    </row>
    <row r="23" spans="3:11">
      <c r="C23" s="811" t="s">
        <v>353</v>
      </c>
      <c r="D23" s="812"/>
      <c r="E23" s="405"/>
      <c r="F23" s="407" t="s">
        <v>354</v>
      </c>
      <c r="G23" s="407"/>
      <c r="H23" s="407"/>
      <c r="I23" s="407"/>
      <c r="J23" s="407"/>
      <c r="K23" s="407"/>
    </row>
    <row r="24" spans="3:11" ht="5.25" customHeight="1">
      <c r="C24" s="332"/>
      <c r="D24" s="332"/>
      <c r="E24" s="405"/>
      <c r="F24" s="405"/>
      <c r="G24" s="405"/>
      <c r="H24" s="405"/>
      <c r="I24" s="405"/>
      <c r="J24" s="405"/>
      <c r="K24" s="405"/>
    </row>
    <row r="25" spans="3:11">
      <c r="C25" s="811" t="s">
        <v>355</v>
      </c>
      <c r="D25" s="812"/>
      <c r="E25" s="405"/>
      <c r="F25" s="407" t="s">
        <v>224</v>
      </c>
      <c r="G25" s="407"/>
      <c r="H25" s="407"/>
      <c r="I25" s="407"/>
      <c r="J25" s="407"/>
      <c r="K25" s="407"/>
    </row>
    <row r="26" spans="3:11" ht="4.5" customHeight="1">
      <c r="C26" s="332"/>
      <c r="D26" s="332"/>
      <c r="E26" s="405"/>
      <c r="F26" s="405"/>
      <c r="G26" s="405"/>
      <c r="H26" s="405"/>
      <c r="I26" s="405"/>
      <c r="J26" s="405"/>
      <c r="K26" s="405"/>
    </row>
    <row r="27" spans="3:11">
      <c r="C27" s="811" t="s">
        <v>356</v>
      </c>
      <c r="D27" s="812"/>
      <c r="E27" s="405"/>
      <c r="F27" s="407" t="s">
        <v>357</v>
      </c>
      <c r="G27" s="407"/>
      <c r="H27" s="407"/>
      <c r="I27" s="407"/>
      <c r="J27" s="407"/>
      <c r="K27" s="407"/>
    </row>
    <row r="28" spans="3:11" ht="4.5" customHeight="1">
      <c r="C28" s="332"/>
      <c r="D28" s="332"/>
      <c r="E28" s="405"/>
      <c r="F28" s="408"/>
      <c r="G28" s="405"/>
      <c r="H28" s="405"/>
      <c r="I28" s="405"/>
      <c r="J28" s="405"/>
      <c r="K28" s="405"/>
    </row>
    <row r="29" spans="3:11">
      <c r="C29" s="811" t="s">
        <v>358</v>
      </c>
      <c r="D29" s="812"/>
      <c r="E29" s="405"/>
      <c r="F29" s="407" t="s">
        <v>359</v>
      </c>
      <c r="G29" s="407"/>
      <c r="H29" s="407"/>
      <c r="I29" s="407"/>
      <c r="J29" s="407"/>
      <c r="K29" s="407"/>
    </row>
    <row r="30" spans="3:11" ht="4.5" customHeight="1">
      <c r="C30" s="332"/>
      <c r="D30" s="332"/>
      <c r="E30" s="405"/>
      <c r="F30" s="405"/>
      <c r="G30" s="405"/>
      <c r="H30" s="405"/>
      <c r="I30" s="405"/>
      <c r="J30" s="405"/>
      <c r="K30" s="405"/>
    </row>
    <row r="31" spans="3:11">
      <c r="C31" s="811" t="s">
        <v>360</v>
      </c>
      <c r="D31" s="812"/>
      <c r="E31" s="405"/>
      <c r="F31" s="817" t="s">
        <v>361</v>
      </c>
      <c r="G31" s="817"/>
      <c r="H31" s="407"/>
      <c r="I31" s="407"/>
      <c r="J31" s="407"/>
      <c r="K31" s="407"/>
    </row>
    <row r="32" spans="3:11" ht="4.5" customHeight="1">
      <c r="C32" s="332"/>
      <c r="D32" s="332"/>
      <c r="E32" s="405"/>
      <c r="F32" s="405"/>
      <c r="G32" s="405"/>
      <c r="H32" s="405"/>
      <c r="I32" s="405"/>
      <c r="J32" s="405"/>
      <c r="K32" s="405"/>
    </row>
    <row r="33" spans="1:14">
      <c r="C33" s="811" t="s">
        <v>156</v>
      </c>
      <c r="D33" s="812"/>
      <c r="E33" s="405"/>
      <c r="F33" s="817" t="s">
        <v>361</v>
      </c>
      <c r="G33" s="817"/>
      <c r="H33" s="407"/>
      <c r="I33" s="407"/>
      <c r="J33" s="407"/>
      <c r="K33" s="407"/>
    </row>
    <row r="34" spans="1:14" ht="4.5" customHeight="1">
      <c r="C34" s="332"/>
      <c r="D34" s="332"/>
      <c r="E34" s="405"/>
      <c r="F34" s="405"/>
      <c r="G34" s="405"/>
      <c r="H34" s="405"/>
      <c r="I34" s="405"/>
      <c r="J34" s="405"/>
      <c r="K34" s="405"/>
    </row>
    <row r="35" spans="1:14">
      <c r="C35" s="811" t="s">
        <v>362</v>
      </c>
      <c r="D35" s="812"/>
      <c r="E35" s="405"/>
      <c r="F35" s="407" t="s">
        <v>363</v>
      </c>
      <c r="G35" s="407"/>
      <c r="H35" s="407"/>
      <c r="I35" s="407"/>
      <c r="J35" s="407"/>
      <c r="K35" s="407"/>
    </row>
    <row r="36" spans="1:14" ht="6" customHeight="1">
      <c r="C36" s="332"/>
      <c r="D36" s="332"/>
      <c r="E36" s="405"/>
      <c r="F36" s="405"/>
      <c r="G36" s="405"/>
      <c r="H36" s="405"/>
      <c r="I36" s="405"/>
      <c r="J36" s="405"/>
      <c r="K36" s="405"/>
    </row>
    <row r="37" spans="1:14">
      <c r="C37" s="811" t="s">
        <v>364</v>
      </c>
      <c r="D37" s="812"/>
      <c r="E37" s="405"/>
      <c r="F37" s="407" t="s">
        <v>363</v>
      </c>
      <c r="G37" s="407"/>
      <c r="H37" s="407"/>
      <c r="I37" s="407"/>
      <c r="J37" s="407"/>
      <c r="K37" s="407"/>
    </row>
    <row r="38" spans="1:14" ht="6" customHeight="1">
      <c r="C38" s="332"/>
      <c r="D38" s="332"/>
    </row>
    <row r="39" spans="1:14">
      <c r="C39" s="337" t="s">
        <v>365</v>
      </c>
      <c r="D39" s="338"/>
      <c r="E39" s="339"/>
      <c r="F39" s="340" t="s">
        <v>348</v>
      </c>
      <c r="G39" s="340"/>
      <c r="H39" s="340"/>
      <c r="I39" s="340"/>
      <c r="J39" s="340"/>
      <c r="K39" s="341"/>
    </row>
    <row r="42" spans="1:14">
      <c r="A42" s="328"/>
      <c r="B42" s="818" t="s">
        <v>227</v>
      </c>
      <c r="C42" s="819"/>
      <c r="D42" s="820"/>
      <c r="E42" s="334"/>
      <c r="F42" s="342"/>
      <c r="G42" s="343"/>
      <c r="H42" s="343"/>
      <c r="K42" s="344"/>
      <c r="L42" s="345"/>
      <c r="M42" s="345"/>
      <c r="N42" s="345"/>
    </row>
    <row r="43" spans="1:14" ht="14.25" customHeight="1">
      <c r="B43" s="818" t="s">
        <v>223</v>
      </c>
      <c r="C43" s="819"/>
      <c r="D43" s="820"/>
      <c r="E43" s="334"/>
      <c r="F43" s="342"/>
      <c r="G43" s="343"/>
      <c r="H43" s="343"/>
      <c r="J43" s="821" t="s">
        <v>214</v>
      </c>
      <c r="K43" s="821"/>
      <c r="L43" s="821"/>
      <c r="M43" s="346"/>
      <c r="N43" s="346"/>
    </row>
    <row r="44" spans="1:14">
      <c r="J44" s="821"/>
      <c r="K44" s="821"/>
      <c r="L44" s="821"/>
    </row>
    <row r="45" spans="1:14">
      <c r="J45" s="821"/>
      <c r="K45" s="821"/>
      <c r="L45" s="821"/>
    </row>
  </sheetData>
  <mergeCells count="27">
    <mergeCell ref="B42:D42"/>
    <mergeCell ref="B43:D43"/>
    <mergeCell ref="J43:L45"/>
    <mergeCell ref="C31:D31"/>
    <mergeCell ref="F31:G31"/>
    <mergeCell ref="C33:D33"/>
    <mergeCell ref="F33:G33"/>
    <mergeCell ref="C35:D35"/>
    <mergeCell ref="C37:D37"/>
    <mergeCell ref="C29:D29"/>
    <mergeCell ref="D7:H7"/>
    <mergeCell ref="C9:J9"/>
    <mergeCell ref="D11:H11"/>
    <mergeCell ref="F13:K13"/>
    <mergeCell ref="F15:K15"/>
    <mergeCell ref="F17:K17"/>
    <mergeCell ref="C21:D21"/>
    <mergeCell ref="F21:G21"/>
    <mergeCell ref="C23:D23"/>
    <mergeCell ref="C25:D25"/>
    <mergeCell ref="C27:D27"/>
    <mergeCell ref="F3:H3"/>
    <mergeCell ref="D2:J2"/>
    <mergeCell ref="D6:F6"/>
    <mergeCell ref="C4:F4"/>
    <mergeCell ref="L4:N4"/>
    <mergeCell ref="C5:F5"/>
  </mergeCells>
  <pageMargins left="0" right="0" top="0.74803149606299202" bottom="0" header="0.31496062992126" footer="0.31496062992126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27E8-2A8D-4CC9-9B26-0D4604AA8449}">
  <sheetPr codeName="Hoja16"/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F0D2-323E-4753-A42C-53A66B1C1730}">
  <sheetPr codeName="Hoja17"/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3966-96C8-4D1B-9722-DCAC7BFE760D}">
  <sheetPr codeName="Hoja18"/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B2:M42"/>
  <sheetViews>
    <sheetView view="pageLayout" topLeftCell="A46" zoomScale="115" zoomScaleNormal="100" zoomScalePageLayoutView="115" workbookViewId="0">
      <selection activeCell="J3" sqref="J3"/>
    </sheetView>
  </sheetViews>
  <sheetFormatPr baseColWidth="10" defaultColWidth="11" defaultRowHeight="15"/>
  <cols>
    <col min="1" max="1" width="7.28515625" customWidth="1"/>
    <col min="2" max="2" width="11.28515625" customWidth="1"/>
    <col min="3" max="3" width="11.7109375" customWidth="1"/>
    <col min="4" max="4" width="9.42578125" customWidth="1"/>
    <col min="5" max="5" width="14.42578125" customWidth="1"/>
    <col min="6" max="6" width="13.5703125" customWidth="1"/>
    <col min="7" max="7" width="2.140625" customWidth="1"/>
    <col min="8" max="8" width="0.28515625" hidden="1" customWidth="1"/>
    <col min="9" max="9" width="4.7109375" hidden="1" customWidth="1"/>
    <col min="11" max="11" width="7.85546875" customWidth="1"/>
    <col min="12" max="12" width="2.85546875" customWidth="1"/>
    <col min="13" max="13" width="4.85546875" customWidth="1"/>
  </cols>
  <sheetData>
    <row r="2" spans="2:13" ht="63" customHeight="1">
      <c r="B2" s="792"/>
      <c r="C2" s="792"/>
      <c r="D2" s="792"/>
      <c r="E2" s="792"/>
      <c r="F2" s="792"/>
      <c r="G2" s="792"/>
      <c r="H2" s="792"/>
    </row>
    <row r="3" spans="2:13" ht="16.5" customHeight="1">
      <c r="B3" s="512"/>
      <c r="C3" s="512"/>
      <c r="D3" s="670" t="s">
        <v>377</v>
      </c>
      <c r="E3" s="670"/>
      <c r="F3" s="670"/>
      <c r="G3" s="512"/>
      <c r="H3" s="512"/>
      <c r="I3" s="512"/>
      <c r="J3" s="512"/>
      <c r="K3" s="512"/>
      <c r="L3" s="512"/>
      <c r="M3" s="512"/>
    </row>
    <row r="4" spans="2:13" ht="24" customHeight="1">
      <c r="B4" s="433" t="s">
        <v>1</v>
      </c>
      <c r="C4" s="671"/>
      <c r="D4" s="671"/>
      <c r="E4" s="671"/>
      <c r="F4" s="423" t="s">
        <v>228</v>
      </c>
      <c r="G4" s="433"/>
      <c r="H4" s="423"/>
      <c r="I4" s="434"/>
      <c r="J4" s="6" t="s">
        <v>2</v>
      </c>
      <c r="K4" s="672"/>
      <c r="L4" s="673"/>
      <c r="M4" s="674"/>
    </row>
    <row r="5" spans="2:13" ht="16.5">
      <c r="B5" s="433" t="s">
        <v>3</v>
      </c>
      <c r="C5" s="671" t="s">
        <v>229</v>
      </c>
      <c r="D5" s="671"/>
      <c r="E5" s="671"/>
      <c r="F5" s="423" t="s">
        <v>169</v>
      </c>
      <c r="G5" s="423"/>
      <c r="H5" s="429"/>
      <c r="I5" s="434"/>
      <c r="J5" s="434"/>
      <c r="K5" s="434"/>
      <c r="L5" s="434"/>
      <c r="M5" s="434"/>
    </row>
    <row r="6" spans="2:13" ht="9.75" customHeight="1">
      <c r="B6" s="105"/>
      <c r="C6" s="10"/>
      <c r="D6" s="112"/>
      <c r="F6" s="61"/>
      <c r="G6" s="117"/>
      <c r="H6" s="10"/>
      <c r="J6" s="126"/>
      <c r="K6" s="112"/>
      <c r="L6" s="112"/>
      <c r="M6" s="7"/>
    </row>
    <row r="7" spans="2:13">
      <c r="B7" s="105"/>
      <c r="C7" s="688" t="s">
        <v>230</v>
      </c>
      <c r="D7" s="688"/>
      <c r="E7" s="688"/>
      <c r="F7" s="688"/>
      <c r="G7" s="117"/>
      <c r="H7" s="10"/>
      <c r="J7" s="105"/>
      <c r="K7" s="822"/>
      <c r="L7" s="822"/>
      <c r="M7" s="112"/>
    </row>
    <row r="8" spans="2:13" ht="9" customHeight="1">
      <c r="B8" s="111"/>
      <c r="C8" s="11"/>
      <c r="D8" s="11"/>
      <c r="E8" s="115"/>
      <c r="F8" s="116"/>
      <c r="G8" s="113"/>
      <c r="H8" s="113"/>
      <c r="I8" s="113"/>
      <c r="J8" s="113"/>
      <c r="K8" s="113"/>
      <c r="L8" s="113"/>
      <c r="M8" s="113"/>
    </row>
    <row r="9" spans="2:13">
      <c r="C9" s="223" t="s">
        <v>231</v>
      </c>
      <c r="D9" s="409"/>
      <c r="E9" s="409"/>
      <c r="F9" s="220"/>
      <c r="G9" s="116"/>
      <c r="H9" s="120"/>
      <c r="I9" s="120"/>
    </row>
    <row r="10" spans="2:13" ht="4.5" customHeight="1">
      <c r="C10" s="223"/>
      <c r="D10" s="409"/>
      <c r="E10" s="409"/>
      <c r="F10" s="220"/>
      <c r="G10" s="116"/>
      <c r="H10" s="120"/>
      <c r="I10" s="120"/>
    </row>
    <row r="11" spans="2:13">
      <c r="C11" s="390" t="s">
        <v>217</v>
      </c>
      <c r="D11" s="823" t="s">
        <v>218</v>
      </c>
      <c r="E11" s="823"/>
      <c r="F11" s="823"/>
      <c r="G11" s="116"/>
      <c r="H11" s="120"/>
      <c r="I11" s="120"/>
    </row>
    <row r="12" spans="2:13">
      <c r="C12" s="188" t="s">
        <v>219</v>
      </c>
      <c r="D12" s="121" t="s">
        <v>232</v>
      </c>
      <c r="E12" s="12"/>
      <c r="F12" s="202"/>
      <c r="G12" s="116"/>
      <c r="H12" s="120"/>
      <c r="I12" s="120"/>
    </row>
    <row r="13" spans="2:13">
      <c r="C13" s="390" t="s">
        <v>221</v>
      </c>
      <c r="D13" s="411"/>
      <c r="E13" s="202"/>
      <c r="F13" s="220"/>
      <c r="G13" s="116"/>
      <c r="H13" s="120"/>
      <c r="I13" s="120"/>
    </row>
    <row r="14" spans="2:13" ht="6" customHeight="1">
      <c r="C14" s="205"/>
      <c r="D14" s="409"/>
      <c r="E14" s="409"/>
      <c r="F14" s="220"/>
      <c r="G14" s="116"/>
      <c r="H14" s="120"/>
      <c r="I14" s="120"/>
    </row>
    <row r="15" spans="2:13">
      <c r="C15" s="224" t="s">
        <v>234</v>
      </c>
      <c r="D15" s="409"/>
      <c r="E15" s="409"/>
      <c r="F15" s="220"/>
      <c r="G15" s="116"/>
      <c r="H15" s="120"/>
      <c r="I15" s="120"/>
    </row>
    <row r="16" spans="2:13" ht="5.25" customHeight="1">
      <c r="C16" s="224"/>
      <c r="D16" s="409"/>
      <c r="E16" s="409"/>
      <c r="F16" s="220"/>
      <c r="G16" s="116"/>
      <c r="H16" s="120"/>
      <c r="I16" s="120"/>
    </row>
    <row r="17" spans="2:10">
      <c r="C17" s="390" t="s">
        <v>217</v>
      </c>
      <c r="D17" s="823" t="s">
        <v>218</v>
      </c>
      <c r="E17" s="823"/>
      <c r="F17" s="823"/>
      <c r="G17" s="116"/>
      <c r="H17" s="120"/>
      <c r="I17" s="120"/>
    </row>
    <row r="18" spans="2:10">
      <c r="C18" s="188" t="s">
        <v>219</v>
      </c>
      <c r="D18" s="121" t="s">
        <v>232</v>
      </c>
      <c r="E18" s="12"/>
      <c r="F18" s="202"/>
      <c r="G18" s="116"/>
      <c r="H18" s="120"/>
      <c r="I18" s="120"/>
    </row>
    <row r="19" spans="2:10">
      <c r="C19" s="390" t="s">
        <v>221</v>
      </c>
      <c r="D19" s="411"/>
      <c r="E19" s="409"/>
      <c r="F19" s="220"/>
      <c r="G19" s="116"/>
      <c r="H19" s="120"/>
      <c r="I19" s="120"/>
    </row>
    <row r="20" spans="2:10" ht="6.75" customHeight="1">
      <c r="C20" s="205"/>
      <c r="D20" s="409"/>
      <c r="E20" s="409"/>
      <c r="F20" s="220"/>
      <c r="G20" s="116"/>
      <c r="H20" s="120"/>
      <c r="I20" s="120"/>
    </row>
    <row r="21" spans="2:10">
      <c r="C21" s="224" t="s">
        <v>235</v>
      </c>
      <c r="D21" s="409"/>
      <c r="E21" s="409"/>
      <c r="F21" s="220"/>
      <c r="G21" s="116"/>
      <c r="H21" s="120"/>
      <c r="I21" s="120"/>
    </row>
    <row r="22" spans="2:10" ht="4.5" customHeight="1">
      <c r="C22" s="224"/>
      <c r="D22" s="409"/>
      <c r="E22" s="409"/>
      <c r="F22" s="220"/>
      <c r="G22" s="116"/>
      <c r="H22" s="120"/>
      <c r="I22" s="120"/>
    </row>
    <row r="23" spans="2:10">
      <c r="C23" s="390" t="s">
        <v>217</v>
      </c>
      <c r="D23" s="122" t="s">
        <v>218</v>
      </c>
      <c r="E23" s="122"/>
      <c r="F23" s="122"/>
      <c r="G23" s="116"/>
      <c r="H23" s="120"/>
      <c r="I23" s="120"/>
    </row>
    <row r="24" spans="2:10">
      <c r="C24" s="188" t="s">
        <v>219</v>
      </c>
      <c r="D24" s="121" t="s">
        <v>232</v>
      </c>
      <c r="E24" s="12"/>
      <c r="F24" s="202"/>
      <c r="G24" s="116"/>
      <c r="H24" s="120"/>
      <c r="I24" s="120"/>
    </row>
    <row r="25" spans="2:10">
      <c r="C25" s="225" t="s">
        <v>221</v>
      </c>
      <c r="D25" s="412"/>
      <c r="E25" s="409"/>
      <c r="F25" s="493"/>
      <c r="G25" s="116"/>
      <c r="H25" s="120"/>
      <c r="I25" s="120"/>
      <c r="J25" s="22"/>
    </row>
    <row r="26" spans="2:10" ht="9" customHeight="1">
      <c r="B26" s="111"/>
      <c r="C26" s="205"/>
      <c r="D26" s="205"/>
      <c r="E26" s="205"/>
      <c r="F26" s="489"/>
      <c r="G26" s="116"/>
      <c r="H26" s="116"/>
      <c r="I26" s="22"/>
      <c r="J26" s="22"/>
    </row>
    <row r="27" spans="2:10">
      <c r="C27" s="224" t="s">
        <v>236</v>
      </c>
      <c r="D27" s="409"/>
      <c r="E27" s="409"/>
      <c r="F27" s="220"/>
      <c r="G27" s="116"/>
      <c r="H27" s="120"/>
      <c r="I27" s="120"/>
      <c r="J27" s="180" t="s">
        <v>84</v>
      </c>
    </row>
    <row r="28" spans="2:10">
      <c r="C28" s="390" t="s">
        <v>217</v>
      </c>
      <c r="D28" s="122" t="s">
        <v>218</v>
      </c>
      <c r="E28" s="122"/>
      <c r="F28" s="122"/>
      <c r="G28" s="116"/>
      <c r="H28" s="120"/>
      <c r="I28" s="120"/>
    </row>
    <row r="29" spans="2:10">
      <c r="C29" s="188" t="s">
        <v>219</v>
      </c>
      <c r="D29" s="121" t="s">
        <v>232</v>
      </c>
      <c r="E29" s="12"/>
      <c r="F29" s="202"/>
      <c r="G29" s="116"/>
      <c r="H29" s="120"/>
      <c r="I29" s="120"/>
    </row>
    <row r="30" spans="2:10">
      <c r="C30" s="390" t="s">
        <v>221</v>
      </c>
      <c r="D30" s="412"/>
      <c r="E30" s="409"/>
      <c r="F30" s="493"/>
      <c r="G30" s="116"/>
      <c r="H30" s="120"/>
      <c r="I30" s="120"/>
      <c r="J30" s="22"/>
    </row>
    <row r="31" spans="2:10" ht="7.5" customHeight="1">
      <c r="B31" s="111"/>
      <c r="C31" s="205"/>
      <c r="D31" s="205"/>
      <c r="E31" s="205"/>
      <c r="F31" s="489"/>
      <c r="G31" s="116"/>
      <c r="H31" s="116"/>
      <c r="I31" s="22"/>
      <c r="J31" s="22"/>
    </row>
    <row r="32" spans="2:10">
      <c r="C32" s="223" t="s">
        <v>237</v>
      </c>
      <c r="D32" s="409"/>
      <c r="E32" s="409"/>
      <c r="F32" s="220"/>
      <c r="G32" s="116"/>
      <c r="H32" s="120"/>
      <c r="I32" s="120"/>
    </row>
    <row r="33" spans="2:13">
      <c r="C33" s="390" t="s">
        <v>217</v>
      </c>
      <c r="D33" s="122" t="s">
        <v>218</v>
      </c>
      <c r="E33" s="122"/>
      <c r="F33" s="122"/>
      <c r="G33" s="116"/>
      <c r="H33" s="120"/>
      <c r="I33" s="120"/>
    </row>
    <row r="34" spans="2:13">
      <c r="C34" s="188" t="s">
        <v>219</v>
      </c>
      <c r="D34" s="121" t="s">
        <v>232</v>
      </c>
      <c r="E34" s="12"/>
      <c r="F34" s="202"/>
      <c r="G34" s="116"/>
      <c r="H34" s="120"/>
      <c r="I34" s="120"/>
    </row>
    <row r="35" spans="2:13">
      <c r="C35" s="390" t="s">
        <v>221</v>
      </c>
      <c r="D35" s="412"/>
      <c r="E35" s="409"/>
      <c r="F35" s="493"/>
      <c r="G35" s="116"/>
      <c r="H35" s="120"/>
      <c r="I35" s="120"/>
      <c r="J35" s="22"/>
    </row>
    <row r="36" spans="2:13">
      <c r="B36" s="111"/>
      <c r="C36" s="111"/>
      <c r="D36" s="111"/>
      <c r="E36" s="111"/>
      <c r="F36" s="116"/>
      <c r="G36" s="116"/>
      <c r="H36" s="116"/>
      <c r="I36" s="22"/>
      <c r="J36" s="22"/>
    </row>
    <row r="37" spans="2:13">
      <c r="B37" s="111"/>
      <c r="C37" s="111"/>
      <c r="D37" s="111"/>
      <c r="E37" s="111"/>
      <c r="F37" s="116"/>
      <c r="G37" s="116"/>
      <c r="H37" s="116"/>
      <c r="I37" s="22"/>
      <c r="J37" s="22"/>
    </row>
    <row r="38" spans="2:13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spans="2:13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2:13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2:13">
      <c r="B41" s="127" t="s">
        <v>238</v>
      </c>
      <c r="C41" s="128"/>
      <c r="D41" s="129"/>
    </row>
    <row r="42" spans="2:13">
      <c r="B42" s="824" t="s">
        <v>239</v>
      </c>
      <c r="C42" s="825"/>
      <c r="D42" s="826"/>
    </row>
  </sheetData>
  <mergeCells count="10">
    <mergeCell ref="B2:H2"/>
    <mergeCell ref="C4:E4"/>
    <mergeCell ref="K4:M4"/>
    <mergeCell ref="C5:E5"/>
    <mergeCell ref="D3:F3"/>
    <mergeCell ref="C7:F7"/>
    <mergeCell ref="K7:L7"/>
    <mergeCell ref="D11:F11"/>
    <mergeCell ref="D17:F17"/>
    <mergeCell ref="B42:D42"/>
  </mergeCells>
  <pageMargins left="0" right="0" top="0.74803149606299202" bottom="0" header="0.31496062992126" footer="0.31496062992126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B2:M38"/>
  <sheetViews>
    <sheetView view="pageLayout" topLeftCell="A7" zoomScale="115" zoomScaleNormal="100" zoomScalePageLayoutView="115" workbookViewId="0">
      <selection activeCell="J7" sqref="J7"/>
    </sheetView>
  </sheetViews>
  <sheetFormatPr baseColWidth="10" defaultColWidth="11" defaultRowHeight="15"/>
  <cols>
    <col min="1" max="1" width="7.28515625" customWidth="1"/>
    <col min="2" max="2" width="11.28515625" customWidth="1"/>
    <col min="3" max="3" width="12.140625" customWidth="1"/>
    <col min="4" max="4" width="12.42578125" customWidth="1"/>
    <col min="5" max="5" width="12.85546875" customWidth="1"/>
    <col min="6" max="6" width="13.5703125" customWidth="1"/>
    <col min="7" max="7" width="2.140625" customWidth="1"/>
    <col min="8" max="8" width="0.28515625" hidden="1" customWidth="1"/>
    <col min="9" max="9" width="4.7109375" hidden="1" customWidth="1"/>
    <col min="10" max="11" width="7.85546875" customWidth="1"/>
    <col min="12" max="12" width="2.85546875" customWidth="1"/>
    <col min="13" max="13" width="4.85546875" customWidth="1"/>
  </cols>
  <sheetData>
    <row r="2" spans="2:13" ht="22.5" customHeight="1">
      <c r="B2" s="792"/>
      <c r="C2" s="792"/>
      <c r="D2" s="792"/>
      <c r="E2" s="792"/>
      <c r="F2" s="792"/>
      <c r="G2" s="792"/>
      <c r="H2" s="792"/>
    </row>
    <row r="3" spans="2:13" ht="16.5" customHeight="1">
      <c r="B3" s="502"/>
      <c r="C3" s="502"/>
      <c r="D3" s="670" t="s">
        <v>377</v>
      </c>
      <c r="E3" s="670"/>
      <c r="F3" s="670"/>
      <c r="G3" s="502"/>
      <c r="H3" s="502"/>
      <c r="I3" s="502"/>
      <c r="J3" s="502"/>
      <c r="K3" s="502"/>
      <c r="L3" s="502"/>
      <c r="M3" s="502"/>
    </row>
    <row r="4" spans="2:13" ht="24" customHeight="1">
      <c r="B4" s="433" t="s">
        <v>1</v>
      </c>
      <c r="C4" s="682"/>
      <c r="D4" s="682"/>
      <c r="E4" s="682"/>
      <c r="F4" s="423" t="s">
        <v>240</v>
      </c>
      <c r="G4" s="433"/>
      <c r="H4" s="423"/>
      <c r="I4" s="434"/>
      <c r="J4" s="6" t="s">
        <v>2</v>
      </c>
      <c r="K4" s="672"/>
      <c r="L4" s="673"/>
      <c r="M4" s="674"/>
    </row>
    <row r="5" spans="2:13" ht="16.5">
      <c r="B5" s="433" t="s">
        <v>3</v>
      </c>
      <c r="C5" s="671" t="s">
        <v>4</v>
      </c>
      <c r="D5" s="671"/>
      <c r="E5" s="671"/>
      <c r="F5" s="423" t="s">
        <v>169</v>
      </c>
      <c r="G5" s="423"/>
      <c r="H5" s="429"/>
      <c r="I5" s="434"/>
      <c r="J5" s="434"/>
      <c r="K5" s="434"/>
      <c r="L5" s="434"/>
      <c r="M5" s="434"/>
    </row>
    <row r="6" spans="2:13" ht="14.25" customHeight="1">
      <c r="B6" s="61"/>
      <c r="C6" s="828"/>
      <c r="D6" s="828"/>
      <c r="E6" s="828"/>
      <c r="F6" s="62"/>
      <c r="G6" s="61"/>
      <c r="H6" s="10"/>
    </row>
    <row r="7" spans="2:13" ht="9.75" customHeight="1">
      <c r="B7" s="105"/>
      <c r="C7" s="10"/>
      <c r="D7" s="112"/>
      <c r="F7" s="61"/>
      <c r="G7" s="117"/>
      <c r="H7" s="10"/>
      <c r="J7" s="126"/>
      <c r="K7" s="112"/>
      <c r="L7" s="112"/>
      <c r="M7" s="7"/>
    </row>
    <row r="8" spans="2:13">
      <c r="B8" s="105"/>
      <c r="C8" s="112"/>
      <c r="D8" s="688" t="s">
        <v>215</v>
      </c>
      <c r="E8" s="688"/>
      <c r="F8" s="105"/>
      <c r="G8" s="117"/>
      <c r="H8" s="10"/>
      <c r="J8" s="105"/>
      <c r="K8" s="822"/>
      <c r="L8" s="822"/>
      <c r="M8" s="112"/>
    </row>
    <row r="9" spans="2:13" ht="9" customHeight="1">
      <c r="B9" s="111"/>
      <c r="C9" s="11"/>
      <c r="D9" s="11"/>
      <c r="E9" s="115"/>
      <c r="F9" s="116"/>
      <c r="G9" s="113"/>
      <c r="H9" s="113"/>
      <c r="I9" s="113"/>
      <c r="J9" s="113"/>
      <c r="K9" s="113"/>
      <c r="L9" s="113"/>
      <c r="M9" s="113"/>
    </row>
    <row r="10" spans="2:13" ht="16.5">
      <c r="C10" s="494" t="s">
        <v>241</v>
      </c>
      <c r="D10" s="414"/>
      <c r="E10" s="414"/>
      <c r="F10" s="490"/>
      <c r="G10" s="116"/>
      <c r="H10" s="120"/>
      <c r="I10" s="120"/>
    </row>
    <row r="11" spans="2:13" ht="5.25" customHeight="1">
      <c r="C11" s="495"/>
      <c r="D11" s="414"/>
      <c r="E11" s="414"/>
      <c r="F11" s="490"/>
      <c r="G11" s="116"/>
      <c r="H11" s="120"/>
      <c r="I11" s="120"/>
    </row>
    <row r="12" spans="2:13" ht="16.5">
      <c r="C12" s="496" t="s">
        <v>217</v>
      </c>
      <c r="D12" s="783" t="s">
        <v>218</v>
      </c>
      <c r="E12" s="783"/>
      <c r="F12" s="783"/>
      <c r="G12" s="116"/>
      <c r="H12" s="120"/>
      <c r="I12" s="120"/>
    </row>
    <row r="13" spans="2:13" ht="6" customHeight="1">
      <c r="C13" s="472"/>
      <c r="D13" s="414"/>
      <c r="E13" s="414"/>
      <c r="F13" s="490"/>
      <c r="G13" s="116"/>
      <c r="H13" s="120"/>
      <c r="I13" s="120"/>
    </row>
    <row r="14" spans="2:13" ht="16.5">
      <c r="C14" s="497" t="s">
        <v>219</v>
      </c>
      <c r="D14" s="498" t="s">
        <v>220</v>
      </c>
      <c r="E14" s="423"/>
      <c r="F14" s="449"/>
      <c r="G14" s="116"/>
      <c r="H14" s="120"/>
      <c r="I14" s="120"/>
    </row>
    <row r="15" spans="2:13" ht="5.25" customHeight="1">
      <c r="C15" s="472"/>
      <c r="D15" s="414"/>
      <c r="E15" s="414"/>
      <c r="F15" s="490"/>
      <c r="G15" s="116"/>
      <c r="H15" s="120"/>
      <c r="I15" s="120"/>
    </row>
    <row r="16" spans="2:13" ht="16.5">
      <c r="C16" s="496" t="s">
        <v>221</v>
      </c>
      <c r="D16" s="444" t="s">
        <v>53</v>
      </c>
      <c r="E16" s="449"/>
      <c r="F16" s="490"/>
      <c r="G16" s="116"/>
      <c r="H16" s="120"/>
      <c r="I16" s="120"/>
    </row>
    <row r="17" spans="3:10" ht="16.5">
      <c r="C17" s="472"/>
      <c r="D17" s="414"/>
      <c r="E17" s="414"/>
      <c r="F17" s="490"/>
      <c r="G17" s="116"/>
      <c r="H17" s="120"/>
      <c r="I17" s="120"/>
    </row>
    <row r="18" spans="3:10" ht="16.5">
      <c r="C18" s="495" t="s">
        <v>242</v>
      </c>
      <c r="D18" s="414"/>
      <c r="E18" s="414"/>
      <c r="F18" s="490"/>
      <c r="G18" s="116"/>
      <c r="H18" s="120"/>
      <c r="I18" s="120"/>
    </row>
    <row r="19" spans="3:10" ht="5.25" customHeight="1">
      <c r="C19" s="495"/>
      <c r="D19" s="414"/>
      <c r="E19" s="414"/>
      <c r="F19" s="490"/>
      <c r="G19" s="116"/>
      <c r="H19" s="120"/>
      <c r="I19" s="120"/>
    </row>
    <row r="20" spans="3:10" ht="16.5">
      <c r="C20" s="496" t="s">
        <v>217</v>
      </c>
      <c r="D20" s="783" t="s">
        <v>218</v>
      </c>
      <c r="E20" s="783"/>
      <c r="F20" s="783"/>
      <c r="G20" s="116"/>
      <c r="H20" s="120"/>
      <c r="I20" s="120"/>
    </row>
    <row r="21" spans="3:10" ht="6" customHeight="1">
      <c r="C21" s="472"/>
      <c r="D21" s="414"/>
      <c r="E21" s="414"/>
      <c r="F21" s="490"/>
      <c r="G21" s="116"/>
      <c r="H21" s="120"/>
      <c r="I21" s="120"/>
    </row>
    <row r="22" spans="3:10" ht="16.5">
      <c r="C22" s="497" t="s">
        <v>219</v>
      </c>
      <c r="D22" s="498" t="s">
        <v>243</v>
      </c>
      <c r="E22" s="423"/>
      <c r="F22" s="449"/>
      <c r="G22" s="116"/>
      <c r="H22" s="120"/>
      <c r="I22" s="120"/>
    </row>
    <row r="23" spans="3:10" ht="5.25" customHeight="1">
      <c r="C23" s="472"/>
      <c r="D23" s="414"/>
      <c r="E23" s="414"/>
      <c r="F23" s="490"/>
      <c r="G23" s="116"/>
      <c r="H23" s="120"/>
      <c r="I23" s="120"/>
    </row>
    <row r="24" spans="3:10" ht="16.5">
      <c r="C24" s="496" t="s">
        <v>221</v>
      </c>
      <c r="D24" s="414" t="s">
        <v>53</v>
      </c>
      <c r="E24" s="414"/>
      <c r="F24" s="490"/>
      <c r="G24" s="116"/>
      <c r="H24" s="120"/>
      <c r="I24" s="120"/>
    </row>
    <row r="25" spans="3:10" ht="16.5">
      <c r="C25" s="472"/>
      <c r="D25" s="414"/>
      <c r="E25" s="414"/>
      <c r="F25" s="490"/>
      <c r="G25" s="116"/>
      <c r="H25" s="120"/>
      <c r="I25" s="120"/>
    </row>
    <row r="26" spans="3:10" ht="16.5">
      <c r="C26" s="495" t="s">
        <v>244</v>
      </c>
      <c r="D26" s="414"/>
      <c r="E26" s="414"/>
      <c r="F26" s="490"/>
      <c r="G26" s="116"/>
      <c r="H26" s="120"/>
      <c r="I26" s="120"/>
    </row>
    <row r="27" spans="3:10" ht="5.25" customHeight="1">
      <c r="C27" s="495"/>
      <c r="D27" s="414"/>
      <c r="E27" s="414"/>
      <c r="F27" s="490"/>
      <c r="G27" s="116"/>
      <c r="H27" s="120"/>
      <c r="I27" s="120"/>
    </row>
    <row r="28" spans="3:10" ht="16.5">
      <c r="C28" s="496" t="s">
        <v>217</v>
      </c>
      <c r="D28" s="499" t="s">
        <v>218</v>
      </c>
      <c r="E28" s="499"/>
      <c r="F28" s="499"/>
      <c r="G28" s="116"/>
      <c r="H28" s="120"/>
      <c r="I28" s="120"/>
    </row>
    <row r="29" spans="3:10" ht="6" customHeight="1">
      <c r="C29" s="472"/>
      <c r="D29" s="414"/>
      <c r="E29" s="414"/>
      <c r="F29" s="490"/>
      <c r="G29" s="116"/>
      <c r="H29" s="120"/>
      <c r="I29" s="120"/>
    </row>
    <row r="30" spans="3:10" ht="16.5">
      <c r="C30" s="497" t="s">
        <v>219</v>
      </c>
      <c r="D30" s="498" t="s">
        <v>243</v>
      </c>
      <c r="E30" s="423"/>
      <c r="F30" s="449"/>
      <c r="G30" s="116"/>
      <c r="H30" s="120"/>
      <c r="I30" s="120"/>
    </row>
    <row r="31" spans="3:10" ht="5.25" customHeight="1">
      <c r="C31" s="472"/>
      <c r="D31" s="414"/>
      <c r="E31" s="414"/>
      <c r="F31" s="490"/>
      <c r="G31" s="116"/>
      <c r="H31" s="120"/>
      <c r="I31" s="120"/>
    </row>
    <row r="32" spans="3:10" ht="16.5">
      <c r="C32" s="496" t="s">
        <v>221</v>
      </c>
      <c r="D32" s="439" t="s">
        <v>53</v>
      </c>
      <c r="E32" s="414"/>
      <c r="F32" s="500"/>
      <c r="G32" s="116"/>
      <c r="H32" s="120"/>
      <c r="I32" s="120"/>
      <c r="J32" s="22"/>
    </row>
    <row r="33" spans="2:13">
      <c r="B33" s="111"/>
      <c r="C33" s="111"/>
      <c r="D33" s="111"/>
      <c r="E33" s="111"/>
      <c r="F33" s="116"/>
      <c r="G33" s="116"/>
      <c r="H33" s="116"/>
      <c r="I33" s="22"/>
      <c r="J33" s="22"/>
    </row>
    <row r="34" spans="2:13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2:13"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2:13"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2:13">
      <c r="B37" s="827" t="s">
        <v>238</v>
      </c>
      <c r="C37" s="827"/>
      <c r="D37" s="827"/>
    </row>
    <row r="38" spans="2:13">
      <c r="B38" s="827" t="s">
        <v>239</v>
      </c>
      <c r="C38" s="827"/>
      <c r="D38" s="827"/>
    </row>
  </sheetData>
  <mergeCells count="12">
    <mergeCell ref="B2:H2"/>
    <mergeCell ref="C4:E4"/>
    <mergeCell ref="K4:M4"/>
    <mergeCell ref="C5:E5"/>
    <mergeCell ref="D3:F3"/>
    <mergeCell ref="B38:D38"/>
    <mergeCell ref="C6:E6"/>
    <mergeCell ref="D8:E8"/>
    <mergeCell ref="K8:L8"/>
    <mergeCell ref="D12:F12"/>
    <mergeCell ref="D20:F20"/>
    <mergeCell ref="B37:D37"/>
  </mergeCells>
  <pageMargins left="0" right="0" top="0.74803149606299202" bottom="0" header="0.31496062992126" footer="0.31496062992126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2:M59"/>
  <sheetViews>
    <sheetView view="pageLayout" topLeftCell="A34" zoomScale="106" zoomScaleNormal="100" zoomScalePageLayoutView="106" workbookViewId="0">
      <selection activeCell="E26" sqref="E26"/>
    </sheetView>
  </sheetViews>
  <sheetFormatPr baseColWidth="10" defaultColWidth="11" defaultRowHeight="15"/>
  <cols>
    <col min="1" max="1" width="7.28515625" customWidth="1"/>
    <col min="2" max="2" width="11.28515625" customWidth="1"/>
    <col min="3" max="3" width="12" customWidth="1"/>
    <col min="4" max="4" width="12.42578125" customWidth="1"/>
    <col min="5" max="5" width="10.85546875" customWidth="1"/>
    <col min="6" max="6" width="13.5703125" customWidth="1"/>
    <col min="7" max="7" width="2.140625" customWidth="1"/>
    <col min="8" max="8" width="0.28515625" hidden="1" customWidth="1"/>
    <col min="9" max="9" width="4.7109375" hidden="1" customWidth="1"/>
    <col min="11" max="11" width="7.85546875" customWidth="1"/>
    <col min="12" max="12" width="2.85546875" customWidth="1"/>
    <col min="13" max="13" width="4.85546875" customWidth="1"/>
  </cols>
  <sheetData>
    <row r="2" spans="2:13" ht="16.5" customHeight="1">
      <c r="B2" s="792"/>
      <c r="C2" s="792"/>
      <c r="D2" s="792"/>
      <c r="E2" s="792"/>
      <c r="F2" s="792"/>
      <c r="G2" s="792"/>
      <c r="H2" s="792"/>
    </row>
    <row r="3" spans="2:13" ht="16.5" customHeight="1">
      <c r="B3" s="670" t="s">
        <v>0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</row>
    <row r="4" spans="2:13" ht="24" customHeight="1">
      <c r="B4" s="506" t="s">
        <v>1</v>
      </c>
      <c r="C4" s="682"/>
      <c r="D4" s="682"/>
      <c r="E4" s="682"/>
      <c r="F4" s="423" t="s">
        <v>240</v>
      </c>
      <c r="G4" s="104"/>
      <c r="H4" s="9"/>
      <c r="J4" s="6" t="s">
        <v>2</v>
      </c>
      <c r="K4" s="793"/>
      <c r="L4" s="794"/>
      <c r="M4" s="795"/>
    </row>
    <row r="5" spans="2:13" ht="16.5">
      <c r="B5" s="506" t="s">
        <v>3</v>
      </c>
      <c r="C5" s="671" t="s">
        <v>229</v>
      </c>
      <c r="D5" s="671"/>
      <c r="E5" s="671"/>
      <c r="F5" s="423" t="s">
        <v>169</v>
      </c>
      <c r="G5" s="9"/>
      <c r="H5" s="105"/>
    </row>
    <row r="6" spans="2:13" ht="14.25" customHeight="1">
      <c r="B6" s="61"/>
      <c r="C6" s="828"/>
      <c r="D6" s="828"/>
      <c r="E6" s="828"/>
      <c r="F6" s="62"/>
      <c r="G6" s="61"/>
      <c r="H6" s="10"/>
    </row>
    <row r="7" spans="2:13" ht="17.25" customHeight="1">
      <c r="B7" s="61"/>
      <c r="C7" s="667" t="s">
        <v>215</v>
      </c>
      <c r="D7" s="831"/>
      <c r="E7" s="831"/>
      <c r="F7" s="831"/>
    </row>
    <row r="8" spans="2:13">
      <c r="B8" s="61"/>
      <c r="C8" s="106"/>
      <c r="D8" s="11"/>
      <c r="E8" s="11"/>
      <c r="F8" s="60" t="s">
        <v>111</v>
      </c>
      <c r="G8" s="7"/>
    </row>
    <row r="9" spans="2:13" ht="14.25" customHeight="1">
      <c r="B9" s="514" t="s">
        <v>245</v>
      </c>
      <c r="C9" s="491"/>
      <c r="D9" s="108"/>
      <c r="E9" s="109" t="s">
        <v>121</v>
      </c>
      <c r="F9" s="110"/>
      <c r="G9" s="7"/>
    </row>
    <row r="10" spans="2:13" ht="5.25" customHeight="1">
      <c r="B10" s="514"/>
      <c r="C10" s="472"/>
      <c r="D10" s="111"/>
      <c r="E10" s="109"/>
      <c r="F10" s="111"/>
      <c r="G10" s="7"/>
    </row>
    <row r="11" spans="2:13" ht="16.5">
      <c r="B11" s="514" t="s">
        <v>246</v>
      </c>
      <c r="C11" s="491"/>
      <c r="D11" s="108"/>
      <c r="E11" s="109" t="s">
        <v>113</v>
      </c>
      <c r="F11" s="110"/>
      <c r="G11" s="112"/>
    </row>
    <row r="12" spans="2:13" ht="6.75" customHeight="1">
      <c r="B12" s="514"/>
      <c r="C12" s="472"/>
      <c r="D12" s="111"/>
      <c r="E12" s="109"/>
      <c r="F12" s="111"/>
      <c r="G12" s="7"/>
    </row>
    <row r="13" spans="2:13" ht="16.5">
      <c r="B13" s="514" t="s">
        <v>247</v>
      </c>
      <c r="C13" s="491"/>
      <c r="D13" s="108"/>
      <c r="E13" s="109" t="s">
        <v>121</v>
      </c>
      <c r="F13" s="110"/>
      <c r="G13" s="112"/>
    </row>
    <row r="14" spans="2:13" ht="6.75" customHeight="1">
      <c r="B14" s="514"/>
      <c r="C14" s="472"/>
      <c r="D14" s="111"/>
      <c r="E14" s="109"/>
      <c r="F14" s="111"/>
      <c r="G14" s="112"/>
    </row>
    <row r="15" spans="2:13" ht="17.25" customHeight="1">
      <c r="B15" s="514" t="s">
        <v>120</v>
      </c>
      <c r="C15" s="449"/>
      <c r="D15" s="114"/>
      <c r="E15" s="109" t="s">
        <v>121</v>
      </c>
      <c r="F15" s="110"/>
      <c r="G15" s="7"/>
    </row>
    <row r="16" spans="2:13" ht="5.25" customHeight="1">
      <c r="B16" s="107"/>
      <c r="C16" s="11"/>
      <c r="D16" s="11"/>
      <c r="E16" s="115"/>
      <c r="F16" s="116"/>
      <c r="G16" s="7"/>
    </row>
    <row r="17" spans="1:13" s="229" customFormat="1">
      <c r="A17" s="228"/>
      <c r="B17" s="233"/>
      <c r="C17" s="834" t="s">
        <v>375</v>
      </c>
      <c r="D17" s="834"/>
      <c r="E17" s="834"/>
      <c r="F17" s="834"/>
      <c r="G17" s="230"/>
      <c r="H17" s="230"/>
    </row>
    <row r="18" spans="1:13" s="229" customFormat="1">
      <c r="A18" s="228"/>
      <c r="B18" s="233"/>
      <c r="C18" s="326"/>
      <c r="D18" s="327"/>
      <c r="E18" s="327"/>
      <c r="F18" s="327"/>
      <c r="G18" s="230"/>
      <c r="H18" s="230"/>
    </row>
    <row r="19" spans="1:13" s="229" customFormat="1" ht="16.5">
      <c r="A19" s="228"/>
      <c r="B19" s="832" t="s">
        <v>376</v>
      </c>
      <c r="C19" s="833"/>
      <c r="D19" s="325">
        <v>26.4</v>
      </c>
      <c r="E19" s="232" t="s">
        <v>342</v>
      </c>
      <c r="F19" s="231" t="s">
        <v>343</v>
      </c>
      <c r="G19" s="230"/>
      <c r="H19" s="230"/>
      <c r="J19" s="234"/>
      <c r="K19" s="234"/>
      <c r="L19" s="234"/>
      <c r="M19" s="234"/>
    </row>
    <row r="20" spans="1:13" s="229" customFormat="1" ht="16.5">
      <c r="A20" s="228"/>
      <c r="B20" s="510"/>
      <c r="C20" s="511"/>
      <c r="D20" s="515"/>
      <c r="E20" s="516"/>
      <c r="F20" s="231"/>
      <c r="G20" s="230"/>
      <c r="H20" s="230"/>
      <c r="J20" s="234"/>
      <c r="K20" s="234"/>
      <c r="L20" s="234"/>
      <c r="M20" s="234"/>
    </row>
    <row r="21" spans="1:13" s="229" customFormat="1" ht="16.5">
      <c r="A21" s="228"/>
      <c r="B21" s="510"/>
      <c r="C21" s="830" t="s">
        <v>380</v>
      </c>
      <c r="D21" s="830"/>
      <c r="E21" s="830"/>
      <c r="F21" s="231"/>
      <c r="G21" s="230"/>
      <c r="H21" s="230"/>
      <c r="J21" s="234"/>
      <c r="K21" s="234"/>
      <c r="L21" s="234"/>
      <c r="M21" s="234"/>
    </row>
    <row r="22" spans="1:13" ht="10.5" customHeight="1">
      <c r="B22" s="111"/>
      <c r="C22" s="11"/>
      <c r="D22" s="11"/>
      <c r="E22" s="11"/>
      <c r="F22" s="116"/>
      <c r="G22" s="117"/>
      <c r="H22" s="10"/>
      <c r="J22" s="123"/>
      <c r="K22" s="822"/>
      <c r="L22" s="822"/>
      <c r="M22" s="112"/>
    </row>
    <row r="23" spans="1:13" ht="16.5">
      <c r="B23" s="514"/>
      <c r="C23" s="514" t="s">
        <v>122</v>
      </c>
      <c r="D23" s="108"/>
      <c r="E23" s="505" t="s">
        <v>121</v>
      </c>
      <c r="F23" s="517"/>
      <c r="G23" s="117"/>
      <c r="H23" s="10"/>
      <c r="J23" s="123"/>
      <c r="K23" s="822"/>
      <c r="L23" s="822"/>
      <c r="M23" s="112"/>
    </row>
    <row r="24" spans="1:13" ht="4.5" customHeight="1">
      <c r="B24" s="514"/>
      <c r="C24" s="514"/>
      <c r="D24" s="111"/>
      <c r="E24" s="505"/>
      <c r="F24" s="111"/>
      <c r="G24" s="113"/>
      <c r="H24" s="113"/>
      <c r="I24" s="113"/>
      <c r="J24" s="113"/>
      <c r="K24" s="113"/>
      <c r="L24" s="113"/>
      <c r="M24" s="113"/>
    </row>
    <row r="25" spans="1:13" ht="17.25" customHeight="1">
      <c r="B25" s="514"/>
      <c r="C25" s="514" t="s">
        <v>123</v>
      </c>
      <c r="D25" s="108"/>
      <c r="E25" s="505" t="s">
        <v>113</v>
      </c>
      <c r="F25" s="116"/>
      <c r="G25" s="118"/>
      <c r="H25" s="10"/>
      <c r="K25" s="7"/>
      <c r="L25" s="7"/>
      <c r="M25" s="7"/>
    </row>
    <row r="26" spans="1:13" ht="3.75" customHeight="1">
      <c r="B26" s="514"/>
      <c r="C26" s="514"/>
      <c r="D26" s="111"/>
      <c r="E26" s="505"/>
      <c r="F26" s="111"/>
      <c r="G26" s="10"/>
      <c r="H26" s="10"/>
      <c r="I26" s="22"/>
      <c r="J26" s="22"/>
      <c r="K26" s="124"/>
      <c r="L26" s="124"/>
      <c r="M26" s="7"/>
    </row>
    <row r="27" spans="1:13" ht="16.5">
      <c r="B27" s="514"/>
      <c r="C27" s="514" t="s">
        <v>124</v>
      </c>
      <c r="D27" s="108"/>
      <c r="E27" s="505" t="s">
        <v>121</v>
      </c>
      <c r="F27" s="116"/>
      <c r="G27" s="105"/>
      <c r="H27" s="105"/>
      <c r="I27" s="22"/>
      <c r="J27" s="829"/>
      <c r="K27" s="829"/>
      <c r="L27" s="829"/>
      <c r="M27" s="112"/>
    </row>
    <row r="28" spans="1:13" ht="4.5" customHeight="1">
      <c r="B28" s="514"/>
      <c r="C28" s="514"/>
      <c r="D28" s="111"/>
      <c r="E28" s="505"/>
      <c r="F28" s="111"/>
      <c r="G28" s="117"/>
      <c r="H28" s="10"/>
      <c r="I28" s="22"/>
      <c r="J28" s="116"/>
      <c r="K28" s="11"/>
      <c r="L28" s="125"/>
      <c r="M28" s="7"/>
    </row>
    <row r="29" spans="1:13" ht="16.5">
      <c r="B29" s="514"/>
      <c r="C29" s="514" t="s">
        <v>125</v>
      </c>
      <c r="D29" s="114"/>
      <c r="E29" s="505" t="s">
        <v>121</v>
      </c>
      <c r="F29" s="116"/>
      <c r="G29" s="117"/>
      <c r="H29" s="10"/>
      <c r="I29" s="22"/>
      <c r="J29" s="105"/>
      <c r="K29" s="669"/>
      <c r="L29" s="669"/>
      <c r="M29" s="112"/>
    </row>
    <row r="30" spans="1:13" ht="9.75" customHeight="1">
      <c r="B30" s="105"/>
      <c r="C30" s="10"/>
      <c r="D30" s="112"/>
      <c r="F30" s="61"/>
      <c r="G30" s="117"/>
      <c r="H30" s="10"/>
      <c r="J30" s="126"/>
      <c r="K30" s="112"/>
      <c r="L30" s="112"/>
      <c r="M30" s="7"/>
    </row>
    <row r="31" spans="1:13">
      <c r="B31" s="105"/>
      <c r="C31" s="112"/>
      <c r="D31" s="688" t="s">
        <v>215</v>
      </c>
      <c r="E31" s="688"/>
      <c r="F31" s="105"/>
      <c r="G31" s="117"/>
      <c r="H31" s="10"/>
      <c r="J31" s="105"/>
      <c r="K31" s="822"/>
      <c r="L31" s="822"/>
      <c r="M31" s="112"/>
    </row>
    <row r="32" spans="1:13" ht="9" customHeight="1">
      <c r="B32" s="111"/>
      <c r="C32" s="11"/>
      <c r="D32" s="11"/>
      <c r="E32" s="115"/>
      <c r="F32" s="116"/>
      <c r="G32" s="113"/>
      <c r="H32" s="113"/>
      <c r="I32" s="113"/>
      <c r="J32" s="113"/>
      <c r="K32" s="113"/>
      <c r="L32" s="113"/>
      <c r="M32" s="113"/>
    </row>
    <row r="33" spans="3:9" ht="16.5">
      <c r="C33" s="494" t="s">
        <v>248</v>
      </c>
      <c r="D33" s="508"/>
      <c r="E33" s="508"/>
      <c r="F33" s="490"/>
      <c r="G33" s="116"/>
      <c r="H33" s="120"/>
      <c r="I33" s="120"/>
    </row>
    <row r="34" spans="3:9" ht="5.25" customHeight="1">
      <c r="C34" s="495"/>
      <c r="D34" s="508"/>
      <c r="E34" s="508"/>
      <c r="F34" s="490"/>
      <c r="G34" s="116"/>
      <c r="H34" s="120"/>
      <c r="I34" s="120"/>
    </row>
    <row r="35" spans="3:9" ht="16.5">
      <c r="C35" s="496" t="s">
        <v>217</v>
      </c>
      <c r="D35" s="783" t="s">
        <v>218</v>
      </c>
      <c r="E35" s="783"/>
      <c r="F35" s="783"/>
      <c r="G35" s="116"/>
      <c r="H35" s="120"/>
      <c r="I35" s="120"/>
    </row>
    <row r="36" spans="3:9" ht="6" customHeight="1">
      <c r="C36" s="472"/>
      <c r="D36" s="508"/>
      <c r="E36" s="508"/>
      <c r="F36" s="490"/>
      <c r="G36" s="116"/>
      <c r="H36" s="120"/>
      <c r="I36" s="120"/>
    </row>
    <row r="37" spans="3:9" ht="16.5">
      <c r="C37" s="497" t="s">
        <v>219</v>
      </c>
      <c r="D37" s="509" t="s">
        <v>220</v>
      </c>
      <c r="E37" s="423"/>
      <c r="F37" s="449"/>
      <c r="G37" s="116"/>
      <c r="H37" s="120"/>
      <c r="I37" s="120"/>
    </row>
    <row r="38" spans="3:9" ht="5.25" customHeight="1">
      <c r="C38" s="472"/>
      <c r="D38" s="508"/>
      <c r="E38" s="508"/>
      <c r="F38" s="490"/>
      <c r="G38" s="116"/>
      <c r="H38" s="120"/>
      <c r="I38" s="120"/>
    </row>
    <row r="39" spans="3:9" ht="16.5">
      <c r="C39" s="496" t="s">
        <v>221</v>
      </c>
      <c r="D39" s="507" t="s">
        <v>233</v>
      </c>
      <c r="E39" s="449"/>
      <c r="F39" s="490"/>
      <c r="G39" s="116"/>
      <c r="H39" s="120"/>
      <c r="I39" s="120"/>
    </row>
    <row r="40" spans="3:9" ht="16.5">
      <c r="C40" s="472"/>
      <c r="D40" s="508"/>
      <c r="E40" s="508"/>
      <c r="F40" s="490"/>
      <c r="G40" s="116"/>
      <c r="H40" s="120"/>
      <c r="I40" s="120"/>
    </row>
    <row r="41" spans="3:9" ht="16.5">
      <c r="C41" s="495" t="s">
        <v>248</v>
      </c>
      <c r="D41" s="508"/>
      <c r="E41" s="508"/>
      <c r="F41" s="490"/>
      <c r="G41" s="116"/>
      <c r="H41" s="120"/>
      <c r="I41" s="120"/>
    </row>
    <row r="42" spans="3:9" ht="5.25" customHeight="1">
      <c r="C42" s="495"/>
      <c r="D42" s="508"/>
      <c r="E42" s="508"/>
      <c r="F42" s="490"/>
      <c r="G42" s="116"/>
      <c r="H42" s="120"/>
      <c r="I42" s="120"/>
    </row>
    <row r="43" spans="3:9" ht="16.5">
      <c r="C43" s="496" t="s">
        <v>217</v>
      </c>
      <c r="D43" s="783" t="s">
        <v>218</v>
      </c>
      <c r="E43" s="783"/>
      <c r="F43" s="783"/>
      <c r="G43" s="116"/>
      <c r="H43" s="120"/>
      <c r="I43" s="120"/>
    </row>
    <row r="44" spans="3:9" ht="6" customHeight="1">
      <c r="C44" s="472"/>
      <c r="D44" s="508"/>
      <c r="E44" s="508"/>
      <c r="F44" s="490"/>
      <c r="G44" s="116"/>
      <c r="H44" s="120"/>
      <c r="I44" s="120"/>
    </row>
    <row r="45" spans="3:9" ht="16.5">
      <c r="C45" s="497" t="s">
        <v>219</v>
      </c>
      <c r="D45" s="509" t="s">
        <v>249</v>
      </c>
      <c r="E45" s="423"/>
      <c r="F45" s="449"/>
      <c r="G45" s="116"/>
      <c r="H45" s="120"/>
      <c r="I45" s="120"/>
    </row>
    <row r="46" spans="3:9" ht="5.25" customHeight="1">
      <c r="C46" s="472"/>
      <c r="D46" s="508"/>
      <c r="E46" s="508"/>
      <c r="F46" s="490"/>
      <c r="G46" s="116"/>
      <c r="H46" s="120"/>
      <c r="I46" s="120"/>
    </row>
    <row r="47" spans="3:9" ht="16.5">
      <c r="C47" s="496" t="s">
        <v>221</v>
      </c>
      <c r="D47" s="508" t="s">
        <v>53</v>
      </c>
      <c r="E47" s="508"/>
      <c r="F47" s="490"/>
      <c r="G47" s="116"/>
      <c r="H47" s="120"/>
      <c r="I47" s="120"/>
    </row>
    <row r="48" spans="3:9" ht="16.5">
      <c r="C48" s="472"/>
      <c r="D48" s="508"/>
      <c r="E48" s="508"/>
      <c r="F48" s="490"/>
      <c r="G48" s="116"/>
      <c r="H48" s="120"/>
      <c r="I48" s="120"/>
    </row>
    <row r="49" spans="2:13" ht="16.5">
      <c r="C49" s="495" t="s">
        <v>250</v>
      </c>
      <c r="D49" s="508"/>
      <c r="E49" s="508"/>
      <c r="F49" s="490"/>
      <c r="G49" s="116"/>
      <c r="H49" s="120"/>
      <c r="I49" s="120"/>
    </row>
    <row r="50" spans="2:13" ht="5.25" customHeight="1">
      <c r="C50" s="495"/>
      <c r="D50" s="508"/>
      <c r="E50" s="508"/>
      <c r="F50" s="490"/>
      <c r="G50" s="116"/>
      <c r="H50" s="120"/>
      <c r="I50" s="120"/>
    </row>
    <row r="51" spans="2:13" ht="16.5">
      <c r="C51" s="496" t="s">
        <v>217</v>
      </c>
      <c r="D51" s="499" t="s">
        <v>218</v>
      </c>
      <c r="E51" s="499"/>
      <c r="F51" s="499"/>
      <c r="G51" s="116"/>
      <c r="H51" s="120"/>
      <c r="I51" s="120"/>
    </row>
    <row r="52" spans="2:13" ht="6" customHeight="1">
      <c r="C52" s="472"/>
      <c r="D52" s="508"/>
      <c r="E52" s="508"/>
      <c r="F52" s="490"/>
      <c r="G52" s="116"/>
      <c r="H52" s="120"/>
      <c r="I52" s="120"/>
    </row>
    <row r="53" spans="2:13" ht="16.5">
      <c r="C53" s="497" t="s">
        <v>219</v>
      </c>
      <c r="D53" s="509" t="s">
        <v>249</v>
      </c>
      <c r="E53" s="423"/>
      <c r="F53" s="449"/>
      <c r="G53" s="116"/>
      <c r="H53" s="120"/>
      <c r="I53" s="120"/>
    </row>
    <row r="54" spans="2:13" ht="5.25" customHeight="1">
      <c r="C54" s="472"/>
      <c r="D54" s="508"/>
      <c r="E54" s="508"/>
      <c r="F54" s="500"/>
      <c r="G54" s="116"/>
      <c r="H54" s="120"/>
      <c r="I54" s="120"/>
      <c r="J54" s="22"/>
    </row>
    <row r="55" spans="2:13" ht="16.5">
      <c r="C55" s="496" t="s">
        <v>221</v>
      </c>
      <c r="D55" s="439" t="s">
        <v>53</v>
      </c>
      <c r="E55" s="508"/>
      <c r="F55" s="500"/>
      <c r="G55" s="116"/>
      <c r="H55" s="120"/>
      <c r="I55" s="120"/>
      <c r="J55" s="22"/>
    </row>
    <row r="56" spans="2:13">
      <c r="B56" s="111"/>
      <c r="C56" s="111"/>
      <c r="D56" s="111"/>
      <c r="E56" s="111"/>
      <c r="F56" s="116"/>
      <c r="G56" s="116"/>
      <c r="H56" s="116"/>
      <c r="I56" s="22"/>
      <c r="J56" s="22"/>
    </row>
    <row r="57" spans="2:13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2:13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2:13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</sheetData>
  <mergeCells count="18">
    <mergeCell ref="C21:E21"/>
    <mergeCell ref="C6:E6"/>
    <mergeCell ref="C7:F7"/>
    <mergeCell ref="B19:C19"/>
    <mergeCell ref="B2:H2"/>
    <mergeCell ref="B3:M3"/>
    <mergeCell ref="C4:E4"/>
    <mergeCell ref="K4:M4"/>
    <mergeCell ref="C5:E5"/>
    <mergeCell ref="C17:F17"/>
    <mergeCell ref="D35:F35"/>
    <mergeCell ref="D43:F43"/>
    <mergeCell ref="K22:L22"/>
    <mergeCell ref="K23:L23"/>
    <mergeCell ref="J27:L27"/>
    <mergeCell ref="K29:L29"/>
    <mergeCell ref="D31:E31"/>
    <mergeCell ref="K31:L31"/>
  </mergeCells>
  <pageMargins left="0" right="0" top="0.74803149606299202" bottom="0" header="0.31496062992126" footer="0.31496062992126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2:Q38"/>
  <sheetViews>
    <sheetView view="pageLayout" topLeftCell="A70" zoomScale="118" zoomScaleNormal="100" zoomScalePageLayoutView="118" workbookViewId="0">
      <selection activeCell="D14" sqref="D14:E15"/>
    </sheetView>
  </sheetViews>
  <sheetFormatPr baseColWidth="10" defaultColWidth="11" defaultRowHeight="15"/>
  <cols>
    <col min="1" max="1" width="6.85546875" customWidth="1"/>
    <col min="2" max="2" width="0.140625" customWidth="1"/>
    <col min="3" max="3" width="10.42578125" hidden="1" customWidth="1"/>
    <col min="4" max="4" width="10.85546875" customWidth="1"/>
    <col min="5" max="5" width="13.5703125" customWidth="1"/>
    <col min="6" max="6" width="2.140625" customWidth="1"/>
    <col min="7" max="7" width="0.28515625" hidden="1" customWidth="1"/>
    <col min="8" max="8" width="4.7109375" hidden="1" customWidth="1"/>
    <col min="10" max="10" width="7.85546875" customWidth="1"/>
    <col min="11" max="11" width="2.85546875" customWidth="1"/>
    <col min="12" max="12" width="4.85546875" customWidth="1"/>
  </cols>
  <sheetData>
    <row r="2" spans="1:17" ht="63" customHeight="1">
      <c r="A2" s="8"/>
      <c r="B2" s="792"/>
      <c r="C2" s="792"/>
      <c r="D2" s="792"/>
      <c r="E2" s="792"/>
      <c r="F2" s="792"/>
      <c r="G2" s="792"/>
    </row>
    <row r="3" spans="1:17" ht="16.5" customHeight="1">
      <c r="A3" s="8"/>
      <c r="B3" s="502" t="s">
        <v>0</v>
      </c>
      <c r="C3" s="502"/>
      <c r="D3" s="840"/>
      <c r="E3" s="840"/>
      <c r="F3" s="840"/>
      <c r="I3" s="688" t="s">
        <v>377</v>
      </c>
      <c r="J3" s="688"/>
      <c r="K3" s="688"/>
      <c r="L3" s="688"/>
      <c r="M3" s="688"/>
    </row>
    <row r="4" spans="1:17" ht="9" customHeight="1">
      <c r="A4" s="8"/>
      <c r="B4" s="410"/>
      <c r="C4" s="410"/>
      <c r="D4" s="670"/>
      <c r="E4" s="670"/>
      <c r="F4" s="670"/>
      <c r="G4" s="670"/>
      <c r="H4" s="670"/>
      <c r="I4" s="670"/>
      <c r="J4" s="670"/>
      <c r="K4" s="670"/>
      <c r="L4" s="670"/>
      <c r="M4" s="670"/>
      <c r="N4" s="670"/>
    </row>
    <row r="5" spans="1:17" ht="24" customHeight="1">
      <c r="A5" s="8"/>
      <c r="B5" s="423" t="s">
        <v>1</v>
      </c>
      <c r="C5" s="838" t="s">
        <v>251</v>
      </c>
      <c r="D5" s="838"/>
      <c r="E5" s="682"/>
      <c r="F5" s="682"/>
      <c r="G5" s="682"/>
      <c r="H5" s="682"/>
      <c r="I5" s="682"/>
      <c r="J5" s="501" t="s">
        <v>168</v>
      </c>
      <c r="K5" s="501"/>
      <c r="L5" s="501"/>
      <c r="M5" s="87" t="s">
        <v>2</v>
      </c>
      <c r="N5" s="503">
        <f ca="1">TODAY()</f>
        <v>46278</v>
      </c>
    </row>
    <row r="6" spans="1:17" ht="16.5">
      <c r="A6" s="8"/>
      <c r="B6" s="423" t="s">
        <v>3</v>
      </c>
      <c r="C6" s="422"/>
      <c r="D6" s="488" t="s">
        <v>252</v>
      </c>
      <c r="E6" s="682"/>
      <c r="F6" s="682"/>
      <c r="G6" s="682"/>
      <c r="H6" s="682"/>
      <c r="I6" s="682"/>
      <c r="J6" s="839" t="s">
        <v>253</v>
      </c>
      <c r="K6" s="839"/>
      <c r="L6" s="839"/>
      <c r="M6" s="434"/>
      <c r="N6" s="434"/>
    </row>
    <row r="7" spans="1:17" ht="14.25" customHeight="1">
      <c r="A7" s="8"/>
      <c r="B7" s="61"/>
      <c r="C7" s="828"/>
      <c r="D7" s="828"/>
      <c r="E7" s="62"/>
      <c r="F7" s="61"/>
      <c r="G7" s="10"/>
    </row>
    <row r="8" spans="1:17" ht="23.25" customHeight="1">
      <c r="G8" s="63" t="s">
        <v>254</v>
      </c>
      <c r="H8" s="63"/>
      <c r="I8" s="63" t="s">
        <v>254</v>
      </c>
      <c r="J8" s="63"/>
      <c r="K8" s="63"/>
      <c r="L8" s="63"/>
      <c r="M8" s="63"/>
    </row>
    <row r="9" spans="1:17" ht="14.25" customHeight="1"/>
    <row r="10" spans="1:17" ht="14.25" customHeight="1"/>
    <row r="11" spans="1:17" ht="19.5" customHeight="1">
      <c r="D11" s="64" t="s">
        <v>255</v>
      </c>
      <c r="E11" s="65"/>
      <c r="F11" s="65"/>
      <c r="G11" s="65"/>
      <c r="H11" s="66"/>
      <c r="I11" s="88"/>
      <c r="J11" s="65"/>
    </row>
    <row r="12" spans="1:17" ht="12.75" customHeight="1">
      <c r="F12" s="67"/>
      <c r="H12" s="68"/>
      <c r="I12" s="89"/>
      <c r="J12" s="70"/>
      <c r="K12" s="70"/>
      <c r="L12" s="80"/>
      <c r="M12" s="76"/>
      <c r="N12" s="90"/>
    </row>
    <row r="13" spans="1:17" ht="19.5" customHeight="1">
      <c r="D13" s="69" t="s">
        <v>256</v>
      </c>
      <c r="E13" s="70" t="s">
        <v>257</v>
      </c>
      <c r="F13" s="70"/>
      <c r="G13" s="71"/>
      <c r="I13" s="91"/>
      <c r="J13" s="91"/>
      <c r="K13" s="91"/>
      <c r="L13" s="2"/>
      <c r="M13" s="92"/>
      <c r="N13" s="90"/>
    </row>
    <row r="14" spans="1:17" ht="19.5" customHeight="1">
      <c r="D14" s="72" t="s">
        <v>219</v>
      </c>
      <c r="E14" s="73" t="s">
        <v>258</v>
      </c>
      <c r="F14" s="70"/>
      <c r="G14" s="71"/>
      <c r="I14" s="93"/>
      <c r="J14" s="94"/>
      <c r="K14" s="94"/>
      <c r="L14" s="95"/>
      <c r="M14" s="96"/>
      <c r="N14" s="96"/>
      <c r="Q14" s="22"/>
    </row>
    <row r="15" spans="1:17" ht="13.5" customHeight="1">
      <c r="F15" s="67"/>
      <c r="G15" s="74"/>
      <c r="H15" s="74"/>
      <c r="I15" s="89"/>
      <c r="J15" s="70"/>
      <c r="K15" s="70"/>
      <c r="L15" s="76"/>
      <c r="M15" s="76"/>
      <c r="N15" s="76"/>
      <c r="P15" t="s">
        <v>84</v>
      </c>
      <c r="Q15" s="47"/>
    </row>
    <row r="16" spans="1:17" ht="13.5" customHeight="1">
      <c r="D16" s="75" t="s">
        <v>259</v>
      </c>
      <c r="F16" s="67"/>
      <c r="G16" s="74"/>
      <c r="H16" s="74"/>
      <c r="I16" s="97"/>
      <c r="J16" s="70"/>
      <c r="K16" s="70"/>
      <c r="L16" s="76"/>
      <c r="M16" s="98"/>
      <c r="N16" s="98"/>
      <c r="O16" s="98"/>
      <c r="P16" s="98"/>
      <c r="Q16" s="48"/>
    </row>
    <row r="17" spans="1:17" ht="14.25" customHeight="1">
      <c r="D17" s="76"/>
      <c r="E17" s="76"/>
      <c r="F17" s="67"/>
      <c r="G17" s="74"/>
      <c r="H17" s="74"/>
      <c r="I17" s="67"/>
      <c r="J17" s="70"/>
      <c r="K17" s="70"/>
      <c r="L17" s="76"/>
      <c r="M17" s="48"/>
      <c r="N17" s="48"/>
      <c r="O17" s="48"/>
      <c r="P17" s="48"/>
      <c r="Q17" s="19"/>
    </row>
    <row r="18" spans="1:17" ht="16.5" customHeight="1">
      <c r="D18" s="76"/>
      <c r="E18" s="77" t="s">
        <v>221</v>
      </c>
      <c r="G18" s="64"/>
      <c r="H18" s="64"/>
      <c r="I18" s="99" t="s">
        <v>233</v>
      </c>
      <c r="J18" s="93"/>
      <c r="K18" s="93"/>
      <c r="L18" s="64"/>
      <c r="M18" s="100"/>
      <c r="N18" s="100"/>
      <c r="O18" s="101"/>
      <c r="P18" s="101"/>
      <c r="Q18" s="19"/>
    </row>
    <row r="19" spans="1:17" ht="15" customHeight="1">
      <c r="D19" s="78"/>
      <c r="E19" s="46"/>
      <c r="F19" s="46"/>
      <c r="G19" s="46"/>
      <c r="H19" s="46"/>
      <c r="I19" s="46"/>
      <c r="J19" s="46"/>
      <c r="K19" s="76"/>
      <c r="L19" s="76"/>
      <c r="M19" s="76"/>
      <c r="N19" s="76"/>
      <c r="O19" s="76"/>
      <c r="P19" s="76"/>
      <c r="Q19" s="22"/>
    </row>
    <row r="20" spans="1:17" ht="14.25" customHeight="1">
      <c r="D20" s="79" t="s">
        <v>260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</row>
    <row r="21" spans="1:17" ht="14.25" customHeight="1"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47"/>
    </row>
    <row r="22" spans="1:17" ht="14.25" customHeight="1">
      <c r="D22" s="80" t="s">
        <v>261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48"/>
    </row>
    <row r="23" spans="1:17" ht="20.25" customHeight="1">
      <c r="D23" s="80" t="s">
        <v>262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</row>
    <row r="24" spans="1:17"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</row>
    <row r="25" spans="1:17"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</row>
    <row r="28" spans="1:17">
      <c r="A28" s="8"/>
      <c r="B28" s="81" t="s">
        <v>227</v>
      </c>
      <c r="C28" s="82"/>
      <c r="D28" s="83"/>
      <c r="E28" s="84"/>
      <c r="F28" s="835"/>
      <c r="G28" s="836"/>
      <c r="H28" s="836"/>
      <c r="I28" s="836"/>
      <c r="K28" s="102"/>
      <c r="L28" s="103"/>
      <c r="M28" s="103"/>
      <c r="N28" s="103"/>
    </row>
    <row r="29" spans="1:17" ht="14.25" customHeight="1">
      <c r="B29" s="81" t="s">
        <v>223</v>
      </c>
      <c r="C29" s="82"/>
      <c r="D29" s="85"/>
      <c r="E29" s="86"/>
      <c r="F29" s="835"/>
      <c r="G29" s="836"/>
      <c r="H29" s="836"/>
      <c r="I29" s="836"/>
      <c r="M29" s="22"/>
      <c r="N29" s="22"/>
    </row>
    <row r="32" spans="1:17">
      <c r="D32" s="59"/>
      <c r="E32" s="59"/>
      <c r="F32" s="59"/>
      <c r="G32" s="59"/>
      <c r="H32" s="59" t="s">
        <v>166</v>
      </c>
      <c r="I32" s="59"/>
    </row>
    <row r="33" spans="4:13">
      <c r="D33" s="59"/>
      <c r="E33" s="59"/>
      <c r="F33" s="59"/>
      <c r="G33" s="59"/>
      <c r="H33" s="59" t="s">
        <v>167</v>
      </c>
      <c r="I33" s="59"/>
    </row>
    <row r="36" spans="4:13">
      <c r="J36" s="837" t="s">
        <v>165</v>
      </c>
      <c r="K36" s="837"/>
      <c r="L36" s="837"/>
      <c r="M36" s="837"/>
    </row>
    <row r="37" spans="4:13">
      <c r="J37" s="837"/>
      <c r="K37" s="837"/>
      <c r="L37" s="837"/>
      <c r="M37" s="837"/>
    </row>
    <row r="38" spans="4:13">
      <c r="J38" s="837"/>
      <c r="K38" s="837"/>
      <c r="L38" s="837"/>
      <c r="M38" s="837"/>
    </row>
  </sheetData>
  <mergeCells count="12">
    <mergeCell ref="C7:D7"/>
    <mergeCell ref="F28:I28"/>
    <mergeCell ref="F29:I29"/>
    <mergeCell ref="J36:M38"/>
    <mergeCell ref="B2:G2"/>
    <mergeCell ref="C5:D5"/>
    <mergeCell ref="E5:I5"/>
    <mergeCell ref="E6:I6"/>
    <mergeCell ref="J6:L6"/>
    <mergeCell ref="D4:N4"/>
    <mergeCell ref="I3:M3"/>
    <mergeCell ref="D3:F3"/>
  </mergeCells>
  <pageMargins left="0" right="0" top="0.74803149606299202" bottom="0" header="0.31496062992126" footer="0.31496062992126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/>
  <dimension ref="B1:S37"/>
  <sheetViews>
    <sheetView view="pageLayout" topLeftCell="A4" zoomScale="80" zoomScaleNormal="100" zoomScalePageLayoutView="80" workbookViewId="0">
      <selection activeCell="M5" sqref="M5:P5"/>
    </sheetView>
  </sheetViews>
  <sheetFormatPr baseColWidth="10" defaultColWidth="11" defaultRowHeight="15"/>
  <cols>
    <col min="1" max="6" width="4.85546875" customWidth="1"/>
    <col min="7" max="7" width="2.85546875" customWidth="1"/>
    <col min="8" max="8" width="3" customWidth="1"/>
    <col min="9" max="9" width="6.5703125" customWidth="1"/>
    <col min="10" max="10" width="4.85546875" customWidth="1"/>
    <col min="11" max="11" width="4.140625" customWidth="1"/>
    <col min="12" max="12" width="8" customWidth="1"/>
    <col min="13" max="13" width="3.5703125" customWidth="1"/>
    <col min="14" max="14" width="3.7109375" customWidth="1"/>
    <col min="15" max="15" width="5.5703125" customWidth="1"/>
    <col min="16" max="16" width="5" customWidth="1"/>
    <col min="17" max="17" width="11.140625" customWidth="1"/>
  </cols>
  <sheetData>
    <row r="1" spans="2:18" ht="14.25" customHeight="1"/>
    <row r="2" spans="2:18" ht="22.5" customHeight="1"/>
    <row r="3" spans="2:18" ht="18.75" customHeight="1"/>
    <row r="4" spans="2:18" ht="18.75" customHeight="1"/>
    <row r="5" spans="2:18" ht="27" customHeight="1">
      <c r="B5" s="859" t="s">
        <v>263</v>
      </c>
      <c r="C5" s="859"/>
      <c r="D5" s="859"/>
      <c r="E5" s="860"/>
      <c r="F5" s="860"/>
      <c r="G5" s="860"/>
      <c r="H5" s="860"/>
      <c r="I5" s="860"/>
      <c r="J5" s="860"/>
      <c r="K5" s="860"/>
      <c r="L5" s="860"/>
      <c r="M5" s="859" t="s">
        <v>378</v>
      </c>
      <c r="N5" s="859"/>
      <c r="O5" s="859"/>
      <c r="P5" s="859"/>
      <c r="Q5" s="861">
        <v>45635</v>
      </c>
      <c r="R5" s="859"/>
    </row>
    <row r="6" spans="2:18" ht="21.75" customHeight="1">
      <c r="B6" s="504"/>
      <c r="C6" s="859" t="s">
        <v>252</v>
      </c>
      <c r="D6" s="859"/>
      <c r="E6" s="862" t="s">
        <v>265</v>
      </c>
      <c r="F6" s="862"/>
      <c r="G6" s="862"/>
      <c r="H6" s="862"/>
      <c r="I6" s="862"/>
      <c r="J6" s="862"/>
      <c r="K6" s="862"/>
      <c r="L6" s="862"/>
      <c r="M6" s="862"/>
      <c r="N6" s="859" t="s">
        <v>169</v>
      </c>
      <c r="O6" s="859"/>
      <c r="P6" s="859"/>
      <c r="Q6" s="504"/>
      <c r="R6" s="504"/>
    </row>
    <row r="7" spans="2:18" ht="20.25" customHeight="1"/>
    <row r="8" spans="2:18" ht="43.5" customHeight="1">
      <c r="G8" s="855" t="s">
        <v>266</v>
      </c>
      <c r="H8" s="855"/>
      <c r="I8" s="855"/>
      <c r="J8" s="855"/>
      <c r="K8" s="855"/>
      <c r="L8" s="855"/>
      <c r="M8" s="855"/>
      <c r="N8" s="855"/>
      <c r="O8" s="855"/>
      <c r="P8" s="855"/>
    </row>
    <row r="9" spans="2:18" ht="14.25" customHeight="1"/>
    <row r="10" spans="2:18" ht="20.25" customHeight="1">
      <c r="E10" s="28"/>
      <c r="F10" s="29"/>
      <c r="G10" s="856"/>
      <c r="H10" s="857"/>
      <c r="I10" s="858" t="s">
        <v>267</v>
      </c>
      <c r="J10" s="858"/>
      <c r="K10" s="858" t="s">
        <v>268</v>
      </c>
      <c r="L10" s="858"/>
      <c r="M10" s="858" t="s">
        <v>269</v>
      </c>
      <c r="N10" s="858"/>
      <c r="O10" s="858"/>
      <c r="P10" s="30"/>
      <c r="Q10" s="22"/>
    </row>
    <row r="11" spans="2:18" ht="12" customHeight="1">
      <c r="E11" s="22"/>
      <c r="F11" s="30"/>
      <c r="G11" s="844"/>
      <c r="H11" s="845"/>
      <c r="I11" s="852"/>
      <c r="J11" s="853"/>
      <c r="K11" s="853"/>
      <c r="L11" s="853"/>
      <c r="M11" s="853"/>
      <c r="N11" s="853"/>
      <c r="O11" s="854"/>
      <c r="P11" s="30"/>
      <c r="Q11" s="22"/>
    </row>
    <row r="12" spans="2:18" ht="17.100000000000001" customHeight="1">
      <c r="E12" s="31"/>
      <c r="F12" s="30"/>
      <c r="G12" s="844" t="s">
        <v>270</v>
      </c>
      <c r="H12" s="845"/>
      <c r="I12" s="850">
        <v>0.20833333333333334</v>
      </c>
      <c r="J12" s="851"/>
      <c r="K12" s="848">
        <v>98</v>
      </c>
      <c r="L12" s="848"/>
      <c r="M12" s="849" t="s">
        <v>87</v>
      </c>
      <c r="N12" s="849"/>
      <c r="O12" s="849"/>
      <c r="P12" s="30"/>
      <c r="Q12" s="22"/>
    </row>
    <row r="13" spans="2:18" ht="17.100000000000001" customHeight="1">
      <c r="E13" s="32"/>
      <c r="F13" s="30"/>
      <c r="G13" s="844" t="s">
        <v>271</v>
      </c>
      <c r="H13" s="845"/>
      <c r="I13" s="850">
        <v>0.22916666666666666</v>
      </c>
      <c r="J13" s="851"/>
      <c r="K13" s="848">
        <v>94.4</v>
      </c>
      <c r="L13" s="848"/>
      <c r="M13" s="849" t="s">
        <v>87</v>
      </c>
      <c r="N13" s="849"/>
      <c r="O13" s="849"/>
      <c r="P13" s="30"/>
      <c r="Q13" s="22"/>
    </row>
    <row r="14" spans="2:18" ht="17.100000000000001" customHeight="1">
      <c r="E14" s="22"/>
      <c r="F14" s="30"/>
      <c r="G14" s="844" t="s">
        <v>272</v>
      </c>
      <c r="H14" s="845"/>
      <c r="I14" s="846">
        <v>0.25</v>
      </c>
      <c r="J14" s="847"/>
      <c r="K14" s="848">
        <v>140</v>
      </c>
      <c r="L14" s="848"/>
      <c r="M14" s="849" t="s">
        <v>87</v>
      </c>
      <c r="N14" s="849"/>
      <c r="O14" s="849"/>
      <c r="P14" s="30"/>
      <c r="Q14" s="22"/>
      <c r="R14" s="22"/>
    </row>
    <row r="15" spans="2:18" ht="17.100000000000001" customHeight="1">
      <c r="E15" s="33"/>
      <c r="F15" s="30"/>
      <c r="G15" s="844" t="s">
        <v>273</v>
      </c>
      <c r="H15" s="845"/>
      <c r="I15" s="846">
        <v>0.27083333333333331</v>
      </c>
      <c r="J15" s="847"/>
      <c r="K15" s="848">
        <v>155.4</v>
      </c>
      <c r="L15" s="848"/>
      <c r="M15" s="849" t="s">
        <v>87</v>
      </c>
      <c r="N15" s="849"/>
      <c r="O15" s="849"/>
      <c r="P15" s="47"/>
      <c r="Q15" s="47"/>
      <c r="R15" s="47"/>
    </row>
    <row r="16" spans="2:18" ht="17.100000000000001" customHeight="1">
      <c r="E16" s="34"/>
      <c r="F16" s="34"/>
      <c r="G16" s="844" t="s">
        <v>274</v>
      </c>
      <c r="H16" s="845"/>
      <c r="I16" s="846">
        <v>0.29166666666666669</v>
      </c>
      <c r="J16" s="847"/>
      <c r="K16" s="848">
        <v>180.1</v>
      </c>
      <c r="L16" s="848"/>
      <c r="M16" s="849" t="s">
        <v>87</v>
      </c>
      <c r="N16" s="849"/>
      <c r="O16" s="849"/>
      <c r="P16" s="48"/>
      <c r="Q16" s="48"/>
      <c r="R16" s="48"/>
    </row>
    <row r="17" spans="4:19" ht="16.5" customHeight="1">
      <c r="E17" s="34"/>
      <c r="F17" s="35"/>
      <c r="G17" s="30"/>
      <c r="H17" s="36"/>
      <c r="I17" s="36"/>
      <c r="J17" s="36"/>
      <c r="K17" s="49"/>
      <c r="L17" s="49"/>
      <c r="M17" s="36"/>
      <c r="N17" s="50"/>
      <c r="O17" s="50"/>
      <c r="P17" s="40"/>
      <c r="Q17" s="19"/>
      <c r="R17" s="19"/>
    </row>
    <row r="18" spans="4:19" ht="16.5" customHeight="1">
      <c r="E18" s="34"/>
      <c r="F18" s="34"/>
      <c r="G18" s="37"/>
      <c r="H18" s="36"/>
      <c r="I18" s="36"/>
      <c r="J18" s="51"/>
      <c r="K18" s="47"/>
      <c r="L18" s="47"/>
      <c r="M18" s="34"/>
      <c r="N18" s="48"/>
      <c r="O18" s="48"/>
      <c r="P18" s="40"/>
      <c r="Q18" s="19"/>
      <c r="R18" s="19"/>
    </row>
    <row r="19" spans="4:19" ht="16.5" customHeight="1">
      <c r="E19" s="34"/>
      <c r="F19" s="34"/>
      <c r="G19" s="37"/>
      <c r="H19" s="36"/>
      <c r="I19" s="36"/>
      <c r="J19" s="36"/>
      <c r="K19" s="36"/>
      <c r="L19" s="47"/>
      <c r="M19" s="34"/>
      <c r="N19" s="50"/>
      <c r="O19" s="50"/>
      <c r="P19" s="40"/>
      <c r="Q19" s="19"/>
      <c r="R19" s="19"/>
    </row>
    <row r="20" spans="4:19" ht="19.5" customHeight="1">
      <c r="E20" s="38"/>
      <c r="F20" s="39"/>
      <c r="G20" s="39"/>
      <c r="H20" s="39"/>
      <c r="I20" s="39"/>
      <c r="J20" s="39"/>
      <c r="K20" s="39"/>
      <c r="L20" s="52"/>
      <c r="M20" s="34"/>
      <c r="N20" s="34"/>
      <c r="O20" s="34"/>
      <c r="P20" s="30"/>
      <c r="Q20" s="22"/>
      <c r="R20" s="22"/>
    </row>
    <row r="21" spans="4:19" ht="14.25" customHeight="1">
      <c r="E21" s="19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19"/>
    </row>
    <row r="22" spans="4:19" ht="14.25" customHeight="1">
      <c r="E22" s="2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22"/>
      <c r="R22" s="47"/>
    </row>
    <row r="23" spans="4:19" ht="14.25" customHeight="1">
      <c r="E23" s="22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22"/>
      <c r="R23" s="48"/>
    </row>
    <row r="24" spans="4:19" ht="20.25" customHeight="1">
      <c r="E24" s="33"/>
      <c r="F24" s="41"/>
      <c r="G24" s="42"/>
      <c r="H24" s="28"/>
      <c r="I24" s="36"/>
      <c r="J24" s="53"/>
      <c r="K24" s="54"/>
      <c r="L24" s="54"/>
      <c r="M24" s="34"/>
      <c r="N24" s="47"/>
      <c r="O24" s="47"/>
      <c r="P24" s="47"/>
      <c r="Q24" s="47"/>
    </row>
    <row r="25" spans="4:19" ht="14.25" customHeight="1">
      <c r="E25" s="34"/>
      <c r="F25" s="34"/>
      <c r="G25" s="37"/>
      <c r="H25" s="36"/>
      <c r="I25" s="36"/>
      <c r="J25" s="37"/>
      <c r="K25" s="54"/>
      <c r="L25" s="54"/>
      <c r="M25" s="34"/>
      <c r="N25" s="48"/>
      <c r="O25" s="48"/>
      <c r="P25" s="48"/>
      <c r="Q25" s="48"/>
      <c r="R25" s="19"/>
    </row>
    <row r="26" spans="4:19" ht="17.25" customHeight="1">
      <c r="E26" s="34"/>
      <c r="F26" s="35"/>
      <c r="G26" s="22"/>
      <c r="H26" s="43"/>
      <c r="I26" s="28"/>
      <c r="J26" s="28"/>
      <c r="K26" s="49"/>
      <c r="L26" s="49"/>
      <c r="M26" s="34"/>
      <c r="N26" s="50"/>
      <c r="O26" s="50"/>
      <c r="P26" s="19"/>
      <c r="Q26" s="19"/>
      <c r="R26" s="19"/>
    </row>
    <row r="27" spans="4:19" ht="17.25" customHeight="1">
      <c r="E27" s="34"/>
      <c r="F27" s="34"/>
      <c r="G27" s="34"/>
      <c r="H27" s="34"/>
      <c r="I27" s="34"/>
      <c r="J27" s="34"/>
      <c r="K27" s="34"/>
      <c r="L27" s="34"/>
      <c r="M27" s="34"/>
      <c r="N27" s="48"/>
      <c r="O27" s="48"/>
      <c r="P27" s="19"/>
      <c r="Q27" s="19"/>
    </row>
    <row r="28" spans="4:19" ht="17.25" customHeight="1">
      <c r="E28" s="34"/>
      <c r="F28" s="34"/>
      <c r="G28" s="34"/>
      <c r="H28" s="34"/>
      <c r="I28" s="34"/>
      <c r="J28" s="34"/>
      <c r="K28" s="34"/>
      <c r="L28" s="34"/>
      <c r="M28" s="34"/>
      <c r="N28" s="50"/>
      <c r="O28" s="50"/>
      <c r="P28" s="19"/>
      <c r="Q28" s="19"/>
    </row>
    <row r="29" spans="4:19">
      <c r="E29" s="44"/>
      <c r="F29" s="45"/>
      <c r="G29" s="45"/>
      <c r="H29" s="45"/>
      <c r="I29" s="45"/>
      <c r="J29" s="45"/>
      <c r="K29" s="45"/>
      <c r="L29" s="52"/>
      <c r="M29" s="34"/>
      <c r="N29" s="34"/>
      <c r="O29" s="34"/>
      <c r="P29" s="22"/>
      <c r="Q29" s="22"/>
    </row>
    <row r="30" spans="4:19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4:19"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4:19">
      <c r="D32" s="841"/>
      <c r="E32" s="841"/>
      <c r="F32" s="841"/>
      <c r="G32" s="841"/>
      <c r="H32" s="841"/>
      <c r="I32" s="841"/>
      <c r="J32" s="841"/>
      <c r="K32" s="841"/>
      <c r="L32" s="841"/>
      <c r="M32" s="841"/>
      <c r="N32" s="841"/>
      <c r="O32" s="841"/>
      <c r="P32" s="841"/>
      <c r="Q32" s="841"/>
      <c r="R32" s="55"/>
      <c r="S32" s="56"/>
    </row>
    <row r="33" spans="4:19">
      <c r="D33" s="841"/>
      <c r="E33" s="841"/>
      <c r="F33" s="841"/>
      <c r="G33" s="841"/>
      <c r="H33" s="841"/>
      <c r="I33" s="841"/>
      <c r="J33" s="841"/>
      <c r="K33" s="841"/>
      <c r="L33" s="841"/>
      <c r="M33" s="841"/>
      <c r="N33" s="841"/>
      <c r="O33" s="841"/>
      <c r="P33" s="841"/>
      <c r="Q33" s="841"/>
      <c r="R33" s="57"/>
      <c r="S33" s="58"/>
    </row>
    <row r="34" spans="4:19">
      <c r="D34" s="842"/>
      <c r="E34" s="842"/>
      <c r="F34" s="842"/>
      <c r="G34" s="842"/>
      <c r="H34" s="842"/>
      <c r="I34" s="842"/>
      <c r="J34" s="842"/>
      <c r="K34" s="842"/>
      <c r="L34" s="842"/>
      <c r="M34" s="842"/>
      <c r="N34" s="842"/>
      <c r="O34" s="842"/>
      <c r="P34" s="842"/>
      <c r="Q34" s="842"/>
    </row>
    <row r="35" spans="4:19"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spans="4:19">
      <c r="D36" s="843" t="s">
        <v>275</v>
      </c>
      <c r="E36" s="843"/>
      <c r="F36" s="843"/>
      <c r="G36" s="843"/>
      <c r="H36" s="843"/>
      <c r="I36" s="843"/>
      <c r="J36" s="843"/>
      <c r="L36" t="s">
        <v>84</v>
      </c>
    </row>
    <row r="37" spans="4:19">
      <c r="D37" s="21" t="s">
        <v>276</v>
      </c>
      <c r="E37" s="21"/>
      <c r="F37" s="21"/>
      <c r="G37" s="21"/>
      <c r="H37" s="21"/>
      <c r="I37" s="21"/>
      <c r="J37" s="21"/>
    </row>
  </sheetData>
  <mergeCells count="38">
    <mergeCell ref="B5:D5"/>
    <mergeCell ref="E5:L5"/>
    <mergeCell ref="Q5:R5"/>
    <mergeCell ref="M5:P5"/>
    <mergeCell ref="C6:D6"/>
    <mergeCell ref="E6:M6"/>
    <mergeCell ref="N6:P6"/>
    <mergeCell ref="G8:P8"/>
    <mergeCell ref="G10:H10"/>
    <mergeCell ref="I10:J10"/>
    <mergeCell ref="K10:L10"/>
    <mergeCell ref="M10:O10"/>
    <mergeCell ref="G11:H11"/>
    <mergeCell ref="I11:O11"/>
    <mergeCell ref="G12:H12"/>
    <mergeCell ref="I12:J12"/>
    <mergeCell ref="K12:L12"/>
    <mergeCell ref="M12:O12"/>
    <mergeCell ref="G13:H13"/>
    <mergeCell ref="I13:J13"/>
    <mergeCell ref="K13:L13"/>
    <mergeCell ref="M13:O13"/>
    <mergeCell ref="G14:H14"/>
    <mergeCell ref="I14:J14"/>
    <mergeCell ref="K14:L14"/>
    <mergeCell ref="M14:O14"/>
    <mergeCell ref="D32:Q32"/>
    <mergeCell ref="D33:Q33"/>
    <mergeCell ref="D34:Q34"/>
    <mergeCell ref="D36:J36"/>
    <mergeCell ref="G15:H15"/>
    <mergeCell ref="I15:J15"/>
    <mergeCell ref="K15:L15"/>
    <mergeCell ref="M15:O15"/>
    <mergeCell ref="G16:H16"/>
    <mergeCell ref="I16:J16"/>
    <mergeCell ref="K16:L16"/>
    <mergeCell ref="M16:O16"/>
  </mergeCells>
  <pageMargins left="0.25" right="0.25" top="0.18229166666666699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/>
  <dimension ref="A1"/>
  <sheetViews>
    <sheetView workbookViewId="0"/>
  </sheetViews>
  <sheetFormatPr baseColWidth="10" defaultColWidth="11"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H1:R37"/>
  <sheetViews>
    <sheetView view="pageLayout" topLeftCell="F1" zoomScale="80" zoomScaleNormal="100" zoomScalePageLayoutView="80" workbookViewId="0">
      <selection activeCell="H18" sqref="H18:I18"/>
    </sheetView>
  </sheetViews>
  <sheetFormatPr baseColWidth="10" defaultColWidth="11" defaultRowHeight="15"/>
  <cols>
    <col min="1" max="7" width="4.85546875" customWidth="1"/>
    <col min="8" max="8" width="5" customWidth="1"/>
    <col min="9" max="9" width="9.85546875" customWidth="1"/>
    <col min="10" max="10" width="5.7109375" customWidth="1"/>
    <col min="11" max="11" width="3.85546875" customWidth="1"/>
    <col min="12" max="12" width="1.7109375" customWidth="1"/>
    <col min="13" max="13" width="7.7109375" customWidth="1"/>
    <col min="14" max="15" width="5" customWidth="1"/>
    <col min="16" max="16" width="3.42578125" customWidth="1"/>
    <col min="17" max="21" width="5" customWidth="1"/>
  </cols>
  <sheetData>
    <row r="1" spans="8:18" ht="14.25" customHeight="1"/>
    <row r="2" spans="8:18" ht="14.25" customHeight="1"/>
    <row r="3" spans="8:18" ht="20.25" customHeight="1">
      <c r="I3" s="864" t="s">
        <v>282</v>
      </c>
      <c r="J3" s="864"/>
      <c r="K3" s="864"/>
      <c r="L3" s="864"/>
      <c r="M3" s="864"/>
      <c r="N3" s="864"/>
      <c r="O3" s="864"/>
      <c r="P3" s="864"/>
      <c r="Q3" s="864"/>
      <c r="R3" s="864"/>
    </row>
    <row r="4" spans="8:18" ht="17.25" customHeight="1">
      <c r="I4" s="864"/>
      <c r="J4" s="864"/>
      <c r="K4" s="864"/>
      <c r="L4" s="864"/>
      <c r="M4" s="864"/>
      <c r="N4" s="864"/>
      <c r="O4" s="864"/>
      <c r="P4" s="864"/>
      <c r="Q4" s="864"/>
      <c r="R4" s="864"/>
    </row>
    <row r="5" spans="8:18" ht="14.25" customHeight="1"/>
    <row r="6" spans="8:18" ht="14.25" customHeight="1"/>
    <row r="7" spans="8:18" ht="23.25" customHeight="1">
      <c r="H7" s="869" t="s">
        <v>283</v>
      </c>
      <c r="I7" s="869"/>
      <c r="J7" s="869"/>
      <c r="K7" s="869"/>
      <c r="L7" s="869"/>
      <c r="M7" s="869"/>
      <c r="N7" s="869"/>
      <c r="O7" s="869"/>
      <c r="P7" s="869"/>
      <c r="Q7" s="869"/>
    </row>
    <row r="8" spans="8:18" ht="14.25" customHeight="1"/>
    <row r="9" spans="8:18" ht="14.25" customHeight="1">
      <c r="L9" s="863"/>
      <c r="M9" s="863"/>
    </row>
    <row r="10" spans="8:18" ht="19.5" customHeight="1">
      <c r="H10" s="1" t="s">
        <v>284</v>
      </c>
      <c r="I10" s="1"/>
      <c r="J10" s="1"/>
      <c r="K10" s="870">
        <v>3.6</v>
      </c>
      <c r="L10" s="870"/>
      <c r="M10" t="s">
        <v>87</v>
      </c>
      <c r="N10" s="3" t="s">
        <v>285</v>
      </c>
      <c r="O10" s="634" t="s">
        <v>286</v>
      </c>
      <c r="P10" s="634"/>
    </row>
    <row r="11" spans="8:18" ht="19.5" customHeight="1">
      <c r="H11" s="868" t="s">
        <v>287</v>
      </c>
      <c r="I11" s="868"/>
      <c r="J11" s="868"/>
      <c r="K11" s="840">
        <v>2.9</v>
      </c>
      <c r="L11" s="840"/>
      <c r="M11" t="s">
        <v>87</v>
      </c>
      <c r="N11" s="3" t="s">
        <v>285</v>
      </c>
      <c r="O11" s="634" t="s">
        <v>288</v>
      </c>
      <c r="P11" s="634"/>
      <c r="Q11" s="7"/>
      <c r="R11" s="7"/>
    </row>
    <row r="12" spans="8:18" ht="19.5" customHeight="1">
      <c r="H12" s="868" t="s">
        <v>289</v>
      </c>
      <c r="I12" s="868"/>
      <c r="J12" s="1"/>
      <c r="K12" s="840">
        <v>0.7</v>
      </c>
      <c r="L12" s="840"/>
      <c r="M12" t="s">
        <v>87</v>
      </c>
      <c r="N12" s="3" t="s">
        <v>285</v>
      </c>
      <c r="O12" s="634" t="s">
        <v>290</v>
      </c>
      <c r="P12" s="634"/>
    </row>
    <row r="13" spans="8:18" ht="19.5" customHeight="1">
      <c r="H13" s="868" t="s">
        <v>291</v>
      </c>
      <c r="I13" s="868"/>
      <c r="J13" s="5"/>
      <c r="K13" s="840">
        <v>775</v>
      </c>
      <c r="L13" s="840"/>
      <c r="M13" t="s">
        <v>100</v>
      </c>
      <c r="N13" s="3" t="s">
        <v>285</v>
      </c>
      <c r="O13" s="634" t="s">
        <v>292</v>
      </c>
      <c r="P13" s="634"/>
    </row>
    <row r="14" spans="8:18" ht="19.5" customHeight="1">
      <c r="H14" s="868" t="s">
        <v>293</v>
      </c>
      <c r="I14" s="868"/>
      <c r="J14" s="5"/>
      <c r="K14" s="840">
        <v>588</v>
      </c>
      <c r="L14" s="840"/>
      <c r="M14" t="s">
        <v>100</v>
      </c>
      <c r="N14" s="3" t="s">
        <v>285</v>
      </c>
      <c r="O14" s="634" t="s">
        <v>292</v>
      </c>
      <c r="P14" s="634"/>
    </row>
    <row r="15" spans="8:18" ht="19.5" customHeight="1">
      <c r="H15" s="868" t="s">
        <v>294</v>
      </c>
      <c r="I15" s="868"/>
      <c r="J15" s="5"/>
      <c r="K15" s="840">
        <v>120</v>
      </c>
      <c r="L15" s="840"/>
      <c r="M15" t="s">
        <v>100</v>
      </c>
      <c r="N15" s="3" t="s">
        <v>285</v>
      </c>
      <c r="O15" s="634" t="s">
        <v>295</v>
      </c>
      <c r="P15" s="634"/>
    </row>
    <row r="16" spans="8:18" ht="19.5" customHeight="1">
      <c r="H16" s="868" t="s">
        <v>296</v>
      </c>
      <c r="I16" s="868"/>
      <c r="K16" s="840">
        <v>649</v>
      </c>
      <c r="L16" s="840"/>
      <c r="M16" t="s">
        <v>100</v>
      </c>
      <c r="N16" s="3" t="s">
        <v>285</v>
      </c>
      <c r="O16" s="840" t="s">
        <v>297</v>
      </c>
      <c r="P16" s="840"/>
    </row>
    <row r="17" spans="8:16" ht="19.5" customHeight="1">
      <c r="H17" s="868" t="s">
        <v>298</v>
      </c>
      <c r="I17" s="868"/>
      <c r="K17" s="840"/>
      <c r="L17" s="840"/>
      <c r="M17" t="s">
        <v>87</v>
      </c>
      <c r="N17" s="3" t="s">
        <v>285</v>
      </c>
      <c r="O17" s="840" t="s">
        <v>299</v>
      </c>
      <c r="P17" s="840"/>
    </row>
    <row r="18" spans="8:16" ht="19.5" customHeight="1">
      <c r="H18" s="867" t="s">
        <v>300</v>
      </c>
      <c r="I18" s="867"/>
      <c r="K18" s="840"/>
      <c r="L18" s="840"/>
      <c r="M18" s="6" t="s">
        <v>58</v>
      </c>
      <c r="N18" s="3" t="s">
        <v>301</v>
      </c>
      <c r="O18" s="866" t="s">
        <v>302</v>
      </c>
      <c r="P18" s="866"/>
    </row>
    <row r="19" spans="8:16" ht="19.5" customHeight="1">
      <c r="H19" s="863" t="s">
        <v>303</v>
      </c>
      <c r="I19" s="863"/>
      <c r="K19" s="840"/>
      <c r="L19" s="840"/>
      <c r="M19" t="s">
        <v>87</v>
      </c>
      <c r="N19" s="3" t="s">
        <v>285</v>
      </c>
      <c r="O19" s="840" t="s">
        <v>304</v>
      </c>
      <c r="P19" s="840"/>
    </row>
    <row r="20" spans="8:16" ht="19.5" customHeight="1">
      <c r="H20" s="863" t="s">
        <v>305</v>
      </c>
      <c r="I20" s="863"/>
      <c r="K20" s="840"/>
      <c r="L20" s="840"/>
      <c r="N20" s="3" t="s">
        <v>285</v>
      </c>
      <c r="O20" s="840"/>
      <c r="P20" s="840"/>
    </row>
    <row r="21" spans="8:16" ht="20.25" customHeight="1">
      <c r="H21" s="863" t="s">
        <v>306</v>
      </c>
      <c r="I21" s="863"/>
      <c r="K21" s="840"/>
      <c r="L21" s="840"/>
      <c r="N21" s="3" t="s">
        <v>285</v>
      </c>
      <c r="O21" s="840"/>
      <c r="P21" s="840"/>
    </row>
    <row r="22" spans="8:16" ht="20.25" customHeight="1">
      <c r="H22" s="863" t="s">
        <v>67</v>
      </c>
      <c r="I22" s="863"/>
      <c r="K22" s="840"/>
      <c r="L22" s="840"/>
      <c r="N22" s="3" t="s">
        <v>285</v>
      </c>
      <c r="O22" s="840"/>
      <c r="P22" s="840"/>
    </row>
    <row r="23" spans="8:16" ht="20.25" customHeight="1">
      <c r="H23" s="863" t="s">
        <v>307</v>
      </c>
      <c r="I23" s="863"/>
      <c r="K23" s="840"/>
      <c r="L23" s="840"/>
      <c r="M23" s="6" t="s">
        <v>58</v>
      </c>
      <c r="N23" s="3" t="s">
        <v>301</v>
      </c>
      <c r="O23" s="840" t="s">
        <v>308</v>
      </c>
      <c r="P23" s="840"/>
    </row>
    <row r="24" spans="8:16" ht="20.25" customHeight="1">
      <c r="H24" s="863" t="s">
        <v>309</v>
      </c>
      <c r="I24" s="863"/>
      <c r="K24" s="840"/>
      <c r="L24" s="840"/>
      <c r="N24" s="3" t="s">
        <v>285</v>
      </c>
      <c r="O24" s="840"/>
      <c r="P24" s="840"/>
    </row>
    <row r="25" spans="8:16" ht="20.25" customHeight="1">
      <c r="H25" s="863" t="s">
        <v>310</v>
      </c>
      <c r="I25" s="863"/>
      <c r="K25" s="840"/>
      <c r="L25" s="840"/>
      <c r="N25" s="3" t="s">
        <v>285</v>
      </c>
      <c r="O25" s="840"/>
      <c r="P25" s="840"/>
    </row>
    <row r="26" spans="8:16" ht="20.25" customHeight="1">
      <c r="H26" s="863" t="s">
        <v>311</v>
      </c>
      <c r="I26" s="863"/>
      <c r="K26" s="840"/>
      <c r="L26" s="840"/>
      <c r="N26" s="3" t="s">
        <v>285</v>
      </c>
      <c r="O26" s="840"/>
      <c r="P26" s="840"/>
    </row>
    <row r="27" spans="8:16" ht="19.5" customHeight="1">
      <c r="H27" s="863" t="s">
        <v>312</v>
      </c>
      <c r="I27" s="863"/>
      <c r="K27" s="840"/>
      <c r="L27" s="840"/>
      <c r="M27" s="6" t="s">
        <v>61</v>
      </c>
      <c r="N27" s="3" t="s">
        <v>285</v>
      </c>
      <c r="O27" s="866" t="s">
        <v>313</v>
      </c>
      <c r="P27" s="866"/>
    </row>
    <row r="28" spans="8:16" ht="19.5" customHeight="1">
      <c r="H28" s="863" t="s">
        <v>314</v>
      </c>
      <c r="I28" s="863"/>
      <c r="K28" s="840"/>
      <c r="L28" s="840"/>
      <c r="M28" s="6" t="s">
        <v>61</v>
      </c>
      <c r="N28" s="3" t="s">
        <v>285</v>
      </c>
      <c r="O28" s="6" t="s">
        <v>315</v>
      </c>
      <c r="P28" s="6"/>
    </row>
    <row r="29" spans="8:16" ht="19.5" customHeight="1">
      <c r="H29" s="863" t="s">
        <v>316</v>
      </c>
      <c r="I29" s="863"/>
      <c r="K29" s="840"/>
      <c r="L29" s="840"/>
      <c r="M29" s="6" t="s">
        <v>61</v>
      </c>
      <c r="N29" s="3" t="s">
        <v>285</v>
      </c>
      <c r="O29" s="6" t="s">
        <v>317</v>
      </c>
      <c r="P29" s="6"/>
    </row>
    <row r="30" spans="8:16" ht="19.5" customHeight="1">
      <c r="H30" s="863" t="s">
        <v>318</v>
      </c>
      <c r="I30" s="863"/>
      <c r="K30" s="840"/>
      <c r="L30" s="840"/>
      <c r="N30" s="3" t="s">
        <v>285</v>
      </c>
      <c r="O30" s="865"/>
      <c r="P30" s="865"/>
    </row>
    <row r="31" spans="8:16" ht="19.5" customHeight="1">
      <c r="H31" s="863" t="s">
        <v>319</v>
      </c>
      <c r="I31" s="863"/>
      <c r="K31" s="840"/>
      <c r="L31" s="840"/>
      <c r="N31" s="3" t="s">
        <v>285</v>
      </c>
      <c r="O31" s="865"/>
      <c r="P31" s="865"/>
    </row>
    <row r="32" spans="8:16" ht="19.5" customHeight="1">
      <c r="H32" s="863" t="s">
        <v>195</v>
      </c>
      <c r="I32" s="863"/>
      <c r="K32" s="840"/>
      <c r="L32" s="840"/>
      <c r="N32" s="3" t="s">
        <v>285</v>
      </c>
      <c r="O32" s="840"/>
      <c r="P32" s="840"/>
    </row>
    <row r="33" spans="8:16" ht="19.5" customHeight="1">
      <c r="H33" s="863"/>
      <c r="I33" s="863"/>
      <c r="K33" s="840"/>
      <c r="L33" s="840"/>
      <c r="N33" s="3" t="s">
        <v>285</v>
      </c>
      <c r="O33" s="840"/>
      <c r="P33" s="840"/>
    </row>
    <row r="34" spans="8:16" ht="19.5" customHeight="1">
      <c r="H34" s="863"/>
      <c r="I34" s="863"/>
      <c r="K34" s="840"/>
      <c r="L34" s="840"/>
      <c r="N34" s="3" t="s">
        <v>285</v>
      </c>
      <c r="O34" s="840"/>
      <c r="P34" s="840"/>
    </row>
    <row r="35" spans="8:16" ht="19.5" customHeight="1">
      <c r="H35" s="863"/>
      <c r="I35" s="863"/>
      <c r="K35" s="840"/>
      <c r="L35" s="840"/>
      <c r="N35" s="3" t="s">
        <v>285</v>
      </c>
      <c r="O35" s="840"/>
      <c r="P35" s="840"/>
    </row>
    <row r="36" spans="8:16" ht="19.5" customHeight="1">
      <c r="H36" s="863"/>
      <c r="I36" s="863"/>
      <c r="K36" s="840"/>
      <c r="L36" s="840"/>
      <c r="N36" s="3" t="s">
        <v>285</v>
      </c>
      <c r="O36" s="840"/>
      <c r="P36" s="840"/>
    </row>
    <row r="37" spans="8:16" ht="19.5" customHeight="1">
      <c r="H37" s="863"/>
      <c r="I37" s="863"/>
      <c r="K37" s="840"/>
      <c r="L37" s="840"/>
      <c r="N37" s="3" t="s">
        <v>285</v>
      </c>
      <c r="O37" s="840"/>
      <c r="P37" s="840"/>
    </row>
  </sheetData>
  <mergeCells count="84">
    <mergeCell ref="H7:Q7"/>
    <mergeCell ref="L9:M9"/>
    <mergeCell ref="K10:L10"/>
    <mergeCell ref="O10:P10"/>
    <mergeCell ref="H11:J11"/>
    <mergeCell ref="K11:L11"/>
    <mergeCell ref="O11:P11"/>
    <mergeCell ref="H12:I12"/>
    <mergeCell ref="K12:L12"/>
    <mergeCell ref="O12:P12"/>
    <mergeCell ref="H13:I13"/>
    <mergeCell ref="K13:L13"/>
    <mergeCell ref="O13:P13"/>
    <mergeCell ref="H14:I14"/>
    <mergeCell ref="K14:L14"/>
    <mergeCell ref="O14:P14"/>
    <mergeCell ref="H15:I15"/>
    <mergeCell ref="K15:L15"/>
    <mergeCell ref="O15:P15"/>
    <mergeCell ref="H16:I16"/>
    <mergeCell ref="K16:L16"/>
    <mergeCell ref="O16:P16"/>
    <mergeCell ref="H17:I17"/>
    <mergeCell ref="K17:L17"/>
    <mergeCell ref="O17:P17"/>
    <mergeCell ref="H18:I18"/>
    <mergeCell ref="K18:L18"/>
    <mergeCell ref="O18:P18"/>
    <mergeCell ref="H19:I19"/>
    <mergeCell ref="K19:L19"/>
    <mergeCell ref="O19:P19"/>
    <mergeCell ref="H20:I20"/>
    <mergeCell ref="K20:L20"/>
    <mergeCell ref="O20:P20"/>
    <mergeCell ref="H21:I21"/>
    <mergeCell ref="K21:L21"/>
    <mergeCell ref="O21:P21"/>
    <mergeCell ref="H22:I22"/>
    <mergeCell ref="K22:L22"/>
    <mergeCell ref="O22:P22"/>
    <mergeCell ref="H23:I23"/>
    <mergeCell ref="K23:L23"/>
    <mergeCell ref="O23:P23"/>
    <mergeCell ref="H24:I24"/>
    <mergeCell ref="K24:L24"/>
    <mergeCell ref="O24:P24"/>
    <mergeCell ref="H25:I25"/>
    <mergeCell ref="K25:L25"/>
    <mergeCell ref="O25:P25"/>
    <mergeCell ref="H26:I26"/>
    <mergeCell ref="K26:L26"/>
    <mergeCell ref="O26:P26"/>
    <mergeCell ref="H27:I27"/>
    <mergeCell ref="K27:L27"/>
    <mergeCell ref="O27:P27"/>
    <mergeCell ref="H28:I28"/>
    <mergeCell ref="K28:L28"/>
    <mergeCell ref="H29:I29"/>
    <mergeCell ref="K29:L29"/>
    <mergeCell ref="H30:I30"/>
    <mergeCell ref="K30:L30"/>
    <mergeCell ref="O30:P30"/>
    <mergeCell ref="H31:I31"/>
    <mergeCell ref="K31:L31"/>
    <mergeCell ref="O31:P31"/>
    <mergeCell ref="H32:I32"/>
    <mergeCell ref="K32:L32"/>
    <mergeCell ref="O32:P32"/>
    <mergeCell ref="H37:I37"/>
    <mergeCell ref="K37:L37"/>
    <mergeCell ref="O37:P37"/>
    <mergeCell ref="I3:R4"/>
    <mergeCell ref="H35:I35"/>
    <mergeCell ref="K35:L35"/>
    <mergeCell ref="O35:P35"/>
    <mergeCell ref="H36:I36"/>
    <mergeCell ref="K36:L36"/>
    <mergeCell ref="O36:P36"/>
    <mergeCell ref="H33:I33"/>
    <mergeCell ref="K33:L33"/>
    <mergeCell ref="O33:P33"/>
    <mergeCell ref="H34:I34"/>
    <mergeCell ref="K34:L34"/>
    <mergeCell ref="O34:P34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HC-QMC</vt:lpstr>
      <vt:lpstr>HC-QMC-SEROL-EGO. </vt:lpstr>
      <vt:lpstr>HC-QMC-SERO-PROT</vt:lpstr>
      <vt:lpstr>QMC-ELEC</vt:lpstr>
      <vt:lpstr>ELECTROLITOS</vt:lpstr>
      <vt:lpstr>COAGULACION</vt:lpstr>
      <vt:lpstr>ORINA</vt:lpstr>
      <vt:lpstr>TEST EMBARAZO</vt:lpstr>
      <vt:lpstr>COPROLOGICO </vt:lpstr>
      <vt:lpstr>Hoja1</vt:lpstr>
      <vt:lpstr>Hoja2</vt:lpstr>
      <vt:lpstr>Hoja4</vt:lpstr>
      <vt:lpstr>PANEL TOXICLOGICO</vt:lpstr>
      <vt:lpstr>P.R HEPATITIS</vt:lpstr>
      <vt:lpstr>SEROLOGIA</vt:lpstr>
      <vt:lpstr>P.R. Ag NASAL</vt:lpstr>
      <vt:lpstr>CURV TOLERANCIA</vt:lpstr>
      <vt:lpstr>Hoja3</vt:lpstr>
      <vt:lpstr>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Usuario</cp:lastModifiedBy>
  <cp:lastPrinted>2026-08-28T18:13:08Z</cp:lastPrinted>
  <dcterms:created xsi:type="dcterms:W3CDTF">2018-02-20T01:55:00Z</dcterms:created>
  <dcterms:modified xsi:type="dcterms:W3CDTF">2026-09-13T10:14:06Z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DFE9FC5CB40D4A8CA741F60CE3CE867F_12</vt:lpwstr>
  </property>
  <property fmtid="{D5CDD505-2E9C-101B-9397-08002B2CF9AE}" pid="3" name="KSOProductBuildVer">
    <vt:lpwstr>3082-12.2.0.21546</vt:lpwstr>
  </property>
</Properties>
</file>